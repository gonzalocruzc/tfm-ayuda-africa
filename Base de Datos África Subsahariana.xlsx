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nza\Documents\Universidad\ADE\Máster\TFM\TFM\"/>
    </mc:Choice>
  </mc:AlternateContent>
  <xr:revisionPtr revIDLastSave="0" documentId="13_ncr:1_{6F31C884-DCAB-4C37-9B45-3402BCBF93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Panel" sheetId="1" r:id="rId1"/>
    <sheet name="Diccionario_Variables" sheetId="2" r:id="rId2"/>
    <sheet name="Cobertura_Temporal" sheetId="3" r:id="rId3"/>
    <sheet name="Incidencias_Control_Calidad" sheetId="4" r:id="rId4"/>
    <sheet name="Resumen_por_Pais" sheetId="5" r:id="rId5"/>
    <sheet name="Fuen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9" i="1" l="1"/>
  <c r="E9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D2" i="1"/>
  <c r="E2" i="1" s="1"/>
</calcChain>
</file>

<file path=xl/sharedStrings.xml><?xml version="1.0" encoding="utf-8"?>
<sst xmlns="http://schemas.openxmlformats.org/spreadsheetml/2006/main" count="2184" uniqueCount="261">
  <si>
    <t>Pais</t>
  </si>
  <si>
    <t>Codigo_ISO3</t>
  </si>
  <si>
    <t>Poblacion</t>
  </si>
  <si>
    <t>Guerra</t>
  </si>
  <si>
    <t>Angola</t>
  </si>
  <si>
    <t>AGO</t>
  </si>
  <si>
    <t>Benin</t>
  </si>
  <si>
    <t>BEN</t>
  </si>
  <si>
    <t>Botswana</t>
  </si>
  <si>
    <t>BWA</t>
  </si>
  <si>
    <t>Burkina Faso</t>
  </si>
  <si>
    <t>BFA</t>
  </si>
  <si>
    <t>Burundi</t>
  </si>
  <si>
    <t>BDI</t>
  </si>
  <si>
    <t>Cabo Verde</t>
  </si>
  <si>
    <t>CPV</t>
  </si>
  <si>
    <t>Cameroon</t>
  </si>
  <si>
    <t>CMR</t>
  </si>
  <si>
    <t>Central African Republic</t>
  </si>
  <si>
    <t>CAF</t>
  </si>
  <si>
    <t>Chad</t>
  </si>
  <si>
    <t>TCD</t>
  </si>
  <si>
    <t>Comoros</t>
  </si>
  <si>
    <t>COM</t>
  </si>
  <si>
    <t>Congo, Dem. Rep.</t>
  </si>
  <si>
    <t>COD</t>
  </si>
  <si>
    <t>Congo, Rep.</t>
  </si>
  <si>
    <t>COG</t>
  </si>
  <si>
    <t>Cote d'Ivoire</t>
  </si>
  <si>
    <t>CIV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</si>
  <si>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</si>
  <si>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</si>
  <si>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</si>
  <si>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</si>
  <si>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</si>
  <si>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</si>
  <si>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</si>
  <si>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</si>
  <si>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Gabon</t>
  </si>
  <si>
    <t>GAB</t>
  </si>
  <si>
    <t>Gambia, The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</si>
  <si>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</si>
  <si>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</si>
  <si>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</si>
  <si>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</si>
  <si>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</si>
  <si>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</si>
  <si>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</si>
  <si>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</si>
  <si>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KEN</t>
  </si>
  <si>
    <t>Lesotho</t>
  </si>
  <si>
    <t>LSO</t>
  </si>
  <si>
    <t>Liberia</t>
  </si>
  <si>
    <t>LBR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</si>
  <si>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</si>
  <si>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</si>
  <si>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</si>
  <si>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</si>
  <si>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</si>
  <si>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</si>
  <si>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</si>
  <si>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</si>
  <si>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Mauritius</t>
  </si>
  <si>
    <t>MUS</t>
  </si>
  <si>
    <t>Mozambique</t>
  </si>
  <si>
    <t>MOZ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</si>
  <si>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</si>
  <si>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</si>
  <si>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</si>
  <si>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</si>
  <si>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</si>
  <si>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</si>
  <si>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</si>
  <si>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</si>
  <si>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Sao Tome and Principe</t>
  </si>
  <si>
    <t>STP</t>
  </si>
  <si>
    <t>Senegal</t>
  </si>
  <si>
    <t>SEN</t>
  </si>
  <si>
    <t>Seychelles</t>
  </si>
  <si>
    <t>SYC</t>
  </si>
  <si>
    <t>Sierra Leone</t>
  </si>
  <si>
    <t>SLE</t>
  </si>
  <si>
    <t>Somalia, Fed. Rep.</t>
  </si>
  <si>
    <t>SOM</t>
  </si>
  <si>
    <t>South Africa</t>
  </si>
  <si>
    <t>ZAF</t>
  </si>
  <si>
    <t>South Sudan</t>
  </si>
  <si>
    <t>SSD</t>
  </si>
  <si>
    <t>Sudan</t>
  </si>
  <si>
    <t>SDN</t>
  </si>
  <si>
    <t>Tanzania</t>
  </si>
  <si>
    <t>TZA</t>
  </si>
  <si>
    <t>Togo</t>
  </si>
  <si>
    <t>TGO</t>
  </si>
  <si>
    <t>Uganda</t>
  </si>
  <si>
    <t>UGA</t>
  </si>
  <si>
    <t>Zambia</t>
  </si>
  <si>
    <t>ZMB</t>
  </si>
  <si>
    <t>Zimbabwe</t>
  </si>
  <si>
    <t>ZWE</t>
  </si>
  <si>
    <t>Nombre de columna</t>
  </si>
  <si>
    <t>Etiqueta corta</t>
  </si>
  <si>
    <t>Descripción completa</t>
  </si>
  <si>
    <t>Unidad</t>
  </si>
  <si>
    <t>Fuente</t>
  </si>
  <si>
    <t>País</t>
  </si>
  <si>
    <t>Nombre del país africano</t>
  </si>
  <si>
    <t>Texto</t>
  </si>
  <si>
    <t>Múltiples</t>
  </si>
  <si>
    <t>Año</t>
  </si>
  <si>
    <t>Año de observación</t>
  </si>
  <si>
    <t>Entero</t>
  </si>
  <si>
    <t>Código ISO3</t>
  </si>
  <si>
    <t>Código de país ISO 3166-1 alpha-3</t>
  </si>
  <si>
    <t>Banco Mundial</t>
  </si>
  <si>
    <t>AOD Occidente (mill. USD)</t>
  </si>
  <si>
    <t>OCDE CRS</t>
  </si>
  <si>
    <t>China: Ayuda concesional (USD)</t>
  </si>
  <si>
    <t>Financiación china de carácter concesional: donaciones y préstamos en condiciones favorables (tipo AOD). USD constantes 2021</t>
  </si>
  <si>
    <t>USD (cte 2021)</t>
  </si>
  <si>
    <t>AidData GCDF v3.0</t>
  </si>
  <si>
    <t>China: Financ. no concesional (USD)</t>
  </si>
  <si>
    <t>Financiación oficial china no concesional: créditos de exportación y préstamos a tipos de mercado. USD constantes 2021</t>
  </si>
  <si>
    <t>China: Financ. no clasificada (USD)</t>
  </si>
  <si>
    <t>Financiación oficial china cuyo carácter concesional o no concesional no ha podido determinarse. USD constantes 2021</t>
  </si>
  <si>
    <t>China: Total financiación (USD)</t>
  </si>
  <si>
    <t>Suma total de financiación oficial china (concesional + no concesional + no clasificada). Solo proyectos validados por AidData</t>
  </si>
  <si>
    <t>Crecimiento PIB (%)</t>
  </si>
  <si>
    <t>Tasa de crecimiento anual del PIB en términos reales</t>
  </si>
  <si>
    <t>% anual</t>
  </si>
  <si>
    <t>Banco Mundial WDI</t>
  </si>
  <si>
    <t>PIB per cápita PPA (USD)</t>
  </si>
  <si>
    <t>PIB per cápita en paridad de poder adquisitivo (PPA) a precios corrientes internacionales. No disponible antes de 1990</t>
  </si>
  <si>
    <t>Población</t>
  </si>
  <si>
    <t>Población total a mitad de año</t>
  </si>
  <si>
    <t>Personas</t>
  </si>
  <si>
    <t>Gobernanza: Control corrupción</t>
  </si>
  <si>
    <t>Percepción de hasta qué punto el poder público se ejerce para beneficio privado. Mayor puntuación = mejor gobernanza. No existe antes de 1996</t>
  </si>
  <si>
    <t>0-100</t>
  </si>
  <si>
    <t>Banco Mundial WGI</t>
  </si>
  <si>
    <t>Gobernanza: Eficacia gobierno</t>
  </si>
  <si>
    <t>Calidad de los servicios públicos, la función pública y la independencia de presiones políticas. No existe antes de 1996</t>
  </si>
  <si>
    <t>Gobernanza: Estabilidad política</t>
  </si>
  <si>
    <t>Probabilidad de inestabilidad política o violencia, incluido el terrorismo. Mayor = más estable. No existe antes de 1996</t>
  </si>
  <si>
    <t>Gobernanza: Calidad regulación</t>
  </si>
  <si>
    <t>Capacidad del gobierno para formular e implementar políticas y regulaciones que promuevan el desarrollo. No existe antes de 1996</t>
  </si>
  <si>
    <t>Gobernanza: Estado de derecho</t>
  </si>
  <si>
    <t>Confianza en las reglas de la sociedad: contratos, policía, tribunales, riesgo de delito. No existe antes de 1996</t>
  </si>
  <si>
    <t>Gobernanza: Voz ciudadana</t>
  </si>
  <si>
    <t>Grado en que los ciudadanos participan en la elección del gobierno; libertad de expresión y prensa. No existe antes de 1996</t>
  </si>
  <si>
    <t>Conflicto armado (sí/no)</t>
  </si>
  <si>
    <t>1 si el país tuvo algún conflicto armado activo ese año (≥25 muertes en combate según UCDP); 0 si no</t>
  </si>
  <si>
    <t>0 = No / 1 = Sí</t>
  </si>
  <si>
    <t>UCDP/PRIO v25.1</t>
  </si>
  <si>
    <t>Conflicto: intensidad máxima</t>
  </si>
  <si>
    <t>Nivel máximo de intensidad: 1 = conflicto menor (25-999 muertes/año); 2 = guerra (≥1.000 muertes/año)</t>
  </si>
  <si>
    <t>1 o 2</t>
  </si>
  <si>
    <t>Guerra (sí/no)</t>
  </si>
  <si>
    <t>1 si la intensidad máxima del conflicto ese año fue de guerra (≥1.000 muertes); 0 en caso contrario</t>
  </si>
  <si>
    <t>Años disponibles</t>
  </si>
  <si>
    <t>Nota</t>
  </si>
  <si>
    <t>1976-2024</t>
  </si>
  <si>
    <t>Identificadores del panel. Cobertura completa</t>
  </si>
  <si>
    <t>2002-2024</t>
  </si>
  <si>
    <t>Sin datos 1976-2001. Celdas grises fuera del rango</t>
  </si>
  <si>
    <t>2000-2021</t>
  </si>
  <si>
    <t>Límite máximo publicado: 2021. Celdas grises fuera del rango</t>
  </si>
  <si>
    <t>Cobertura parcial (~16%): no todos los países reciben este tipo de financiación</t>
  </si>
  <si>
    <t>Cobertura muy parcial (~7%)</t>
  </si>
  <si>
    <t>Suma de los tres anteriores. Solo proyectos validados (Recommended for Aggregates)</t>
  </si>
  <si>
    <t>Cobertura ~95%</t>
  </si>
  <si>
    <t>1990-2024</t>
  </si>
  <si>
    <t>La metodología PPA del Banco Mundial no está disponible antes de 1990. Celdas grises 1976-1989</t>
  </si>
  <si>
    <t>Cobertura 100%</t>
  </si>
  <si>
    <t>Gobernanza_* (6 indicadores)</t>
  </si>
  <si>
    <t>1996-2024</t>
  </si>
  <si>
    <t>NO EXISTE antes de 1996 (no es un dato faltante, la serie no existía). Años 1997, 1999 y 2001 interpolados linealmente entre los años publicados</t>
  </si>
  <si>
    <t>Cobertura 100%. 0 = sin conflicto activo ese año según el umbral UCDP (≥25 muertes en combate)</t>
  </si>
  <si>
    <t>Incidencia</t>
  </si>
  <si>
    <t>Descripción</t>
  </si>
  <si>
    <t>Resolución adoptada</t>
  </si>
  <si>
    <t>Impacto</t>
  </si>
  <si>
    <t>Somalia: nombre inconsistente entre fuentes</t>
  </si>
  <si>
    <t>El WDI denomina al país "Somalia, Fed. Rep." mientras que el UCDP lo llama "Somalia". El cruce automático no unía los datos de conflicto, dejando a Somalia sin conflicto registrado en todos los años recientes, lo que es claramente incorrecto.</t>
  </si>
  <si>
    <t>Se añadió la equivalencia "Somalia → Somalia, Fed. Rep." en la tabla de nombres del UCDP. Verificado: 2008-2012 ahora aparece correctamente como guerra (Conflicto_Armado=1, Guerra=1).</t>
  </si>
  <si>
    <t>Crítico. Sin este ajuste Somalia aparecía sin conflicto armado en el período 2006-2024, distorsionando gravemente cualquier análisis.</t>
  </si>
  <si>
    <t>Djibouti: ausente del panel</t>
  </si>
  <si>
    <t>Djibouti no está disponible en los World Development Indicators (WDI) ni en los Worldwide Governance Indicators (WGI), que son las fuentes base del panel. Al construir el panel a partir del WDI, Djibouti queda automáticamente excluido.</t>
  </si>
  <si>
    <t>Se excluye del panel y se documenta aquí. Djibouti sí aparece en OCDE CRS y AidData, pero sin variables económicas ni de gobernanza no es utilizable en modelos econométricos.</t>
  </si>
  <si>
    <t>Menor. Djibouti es un país pequeño con características muy atípicas (alberga bases militares de EE.UU. y Francia). Su exclusión no afecta a la representatividad del panel.</t>
  </si>
  <si>
    <t>WGI: años 1997, 1999 y 2001 no publicados</t>
  </si>
  <si>
    <t>El Banco Mundial no publicó los indicadores WGI para estos tres años en su metodología original (publicaba cada dos años hasta 2002).</t>
  </si>
  <si>
    <t>Interpolación lineal entre los años adyacentes disponibles. Es la práctica estándar en la literatura académica para este indicador.</t>
  </si>
  <si>
    <t>Menor. Los indicadores de gobernanza cambian lentamente; los valores interpolados son una aproximación razonable.</t>
  </si>
  <si>
    <t>WGI: no existe antes de 1996</t>
  </si>
  <si>
    <t>Los indicadores WGI no existen antes de 1996. No es un dato faltante: la serie no fue creada hasta ese año.</t>
  </si>
  <si>
    <t>Celdas vacías (fondo gris en el Excel) para 1976-1995. Documentado en la hoja Cobertura_Temporal.</t>
  </si>
  <si>
    <t>Relevante. Limita el uso de variables de gobernanza al período 1996-2024.</t>
  </si>
  <si>
    <t>PIB per cápita PPA: no disponible antes de 1990</t>
  </si>
  <si>
    <t>Las estimaciones de Paridad de Poder Adquisitivo (PPA) del Banco Mundial no están disponibles antes de 1990.</t>
  </si>
  <si>
    <t>Celdas vacías para 1976-1989. Si se necesita el PIB per cápita para años anteriores se puede usar la variable en USD corrientes, disponible desde 1976 en el WDI.</t>
  </si>
  <si>
    <t>Menor. Afecta solo al análisis del período 1976-1989.</t>
  </si>
  <si>
    <t>AidData: límite temporal 2021</t>
  </si>
  <si>
    <t>La versión 3.0 del dataset de AidData (financiación china) no tiene datos posteriores a 2021. Es el límite de la versión publicada actualmente.</t>
  </si>
  <si>
    <t>Celdas vacías para 2022-2024 en todas las variables de financiación china. La variable Ayuda_Total_Mill_USD para 2022-2024 solo incluye AOD occidental.</t>
  </si>
  <si>
    <t>Relevante para análisis post-2021. Se recomienda limitar el análisis comparativo occidente-China al período 2002-2021.</t>
  </si>
  <si>
    <t>Nº Años</t>
  </si>
  <si>
    <t>AOD Occidente Media (mill. USD)</t>
  </si>
  <si>
    <t>Financiación China Media (mill. USD)</t>
  </si>
  <si>
    <t>PIB per cápita Medio PPA (USD)</t>
  </si>
  <si>
    <t>Crecimiento PIB Medio (%)</t>
  </si>
  <si>
    <t>Gobernanza: Control corrupción (media)</t>
  </si>
  <si>
    <t>Gobernanza: Estabilidad política (media)</t>
  </si>
  <si>
    <t>Años con conflicto armado</t>
  </si>
  <si>
    <t>Años en guerra</t>
  </si>
  <si>
    <t>Nombre completo</t>
  </si>
  <si>
    <t>URL</t>
  </si>
  <si>
    <t>Años utilizados</t>
  </si>
  <si>
    <t>Notas</t>
  </si>
  <si>
    <t>OECD Creditor Reporting System</t>
  </si>
  <si>
    <t>https://stats.oecd.org/Index.aspx?DataSetCode=CRS1</t>
  </si>
  <si>
    <t>Desembolsos de Ayuda Oficial al Desarrollo (AOD) de todos los donantes DAC. Precios constantes 2023 USD. Cubre países del África subsahariana.</t>
  </si>
  <si>
    <t>AidData Global Chinese Development Finance Dataset, Versión 3.0</t>
  </si>
  <si>
    <t>https://www.aiddata.org/data/aiddatas-global-chinese-development-finance-dataset-version-3-0</t>
  </si>
  <si>
    <t>Financiación oficial china por proyecto. Solo se usan proyectos marcados como "Recommended for Aggregates=Yes" para evitar doble conteo. USD constantes 2021. Límite máximo publicado: 2021.</t>
  </si>
  <si>
    <t>WDI</t>
  </si>
  <si>
    <t>World Development Indicators - Banco Mundial</t>
  </si>
  <si>
    <t>https://databank.worldbank.org/source/world-development-indicators</t>
  </si>
  <si>
    <t>Variables utilizadas: crecimiento del PIB, PIB per cápita PPA (desde 1990), población total, formación bruta de capital fijo (% PIB).</t>
  </si>
  <si>
    <t>WGI</t>
  </si>
  <si>
    <t>Worldwide Governance Indicators - Banco Mundial</t>
  </si>
  <si>
    <t>https://databank.worldbank.org/source/worldwide-governance-indicators</t>
  </si>
  <si>
    <t>6 indicadores de gobernanza en escala 0-100. No existe antes de 1996. Los años 1997, 1999 y 2001 han sido interpolados linealmente al no estar publicados originalmente.</t>
  </si>
  <si>
    <t>UCDP/PRIO</t>
  </si>
  <si>
    <t>Uppsala Conflict Data Program / PRIO Armed Conflict Dataset v25.1</t>
  </si>
  <si>
    <t>https://ucdp.uu.se/downloads/</t>
  </si>
  <si>
    <t>Conflictos armados con ≥25 muertes en combate al año. Región 4 = África. Intensidad 1 = conflicto menor (25-999 muertes), Intensidad 2 = guerra (≥1.000 muertes). Conflictos en varios países asignados individualmente a cada país implicado.</t>
  </si>
  <si>
    <t>Pais / Year / Codigo_ISO3</t>
  </si>
  <si>
    <t>Year</t>
  </si>
  <si>
    <t>Gambia</t>
  </si>
  <si>
    <t>Mill. USD (cte 2024)</t>
  </si>
  <si>
    <t>Ayuda Oficial al Desarrollo recibida de todos los donantes DAC (países occidentales). Desembolsos en millones USD constantes 2024</t>
  </si>
  <si>
    <t>Ayuda Oficial al Desarrollo recibida de todos los donantes DAC (países occidentales) deflactado a precios de 2021 y en unidades de USD</t>
  </si>
  <si>
    <t>USD</t>
  </si>
  <si>
    <t>AOD_Occ</t>
  </si>
  <si>
    <t>AOD_Occ2024</t>
  </si>
  <si>
    <t>Ayuda_China</t>
  </si>
  <si>
    <t>China_Conc</t>
  </si>
  <si>
    <t>China_NoConc</t>
  </si>
  <si>
    <t>China_NoClasif</t>
  </si>
  <si>
    <t>Crec_PIB</t>
  </si>
  <si>
    <t>PIB_pc</t>
  </si>
  <si>
    <t>Corrupcion</t>
  </si>
  <si>
    <t>Eficacia_Gob</t>
  </si>
  <si>
    <t>Estabilidad</t>
  </si>
  <si>
    <t>Regulacion</t>
  </si>
  <si>
    <t>Estado_Derecho</t>
  </si>
  <si>
    <t>Voz_Ciudadanos</t>
  </si>
  <si>
    <t>Conflicto</t>
  </si>
  <si>
    <t>Intens_Conflicto</t>
  </si>
  <si>
    <t>Conflicto / Guerra / Intens_Conflicto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</si>
</sst>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u/>
      <sz val="9"/>
      <color rgb="FF007BC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/>
    <xf numFmtId="3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4" fontId="2" fillId="3" borderId="1" xfId="0" applyNumberFormat="1" applyFont="1" applyFill="1" applyBorder="1"/>
    <xf numFmtId="4" fontId="2" fillId="0" borderId="1" xfId="0" applyNumberFormat="1" applyFont="1" applyBorder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3" fontId="3" fillId="0" borderId="0" xfId="0" applyNumberFormat="1" applyFont="1"/>
    <xf numFmtId="3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E1" sqref="E1"/>
    </sheetView>
  </sheetViews>
  <sheetFormatPr baseColWidth="10" defaultColWidth="9.109375" defaultRowHeight="14.4" x14ac:dyDescent="0.3"/>
  <cols>
    <col min="1" max="1" width="20" customWidth="1"/>
    <col min="2" max="2" width="6" customWidth="1"/>
    <col min="3" max="3" width="8" customWidth="1"/>
    <col min="4" max="5" width="22" customWidth="1"/>
    <col min="6" max="8" width="24" customWidth="1"/>
    <col min="9" max="9" width="22" customWidth="1"/>
    <col min="10" max="10" width="10" customWidth="1"/>
    <col min="11" max="11" width="18" customWidth="1"/>
    <col min="12" max="12" width="14" customWidth="1"/>
    <col min="13" max="14" width="26" customWidth="1"/>
    <col min="15" max="15" width="28" customWidth="1"/>
    <col min="16" max="16" width="26" customWidth="1"/>
    <col min="17" max="18" width="24" customWidth="1"/>
    <col min="19" max="19" width="14" customWidth="1"/>
    <col min="20" max="20" width="18" customWidth="1"/>
    <col min="21" max="21" width="12" customWidth="1"/>
  </cols>
  <sheetData>
    <row r="1" spans="1:21" ht="38.1" customHeight="1" x14ac:dyDescent="0.3">
      <c r="A1" s="1" t="s">
        <v>0</v>
      </c>
      <c r="B1" s="1" t="s">
        <v>238</v>
      </c>
      <c r="C1" s="1" t="s">
        <v>1</v>
      </c>
      <c r="D1" s="1" t="s">
        <v>245</v>
      </c>
      <c r="E1" s="1" t="s">
        <v>244</v>
      </c>
      <c r="F1" s="1" t="s">
        <v>247</v>
      </c>
      <c r="G1" s="1" t="s">
        <v>248</v>
      </c>
      <c r="H1" s="1" t="s">
        <v>249</v>
      </c>
      <c r="I1" s="1" t="s">
        <v>246</v>
      </c>
      <c r="J1" s="1" t="s">
        <v>250</v>
      </c>
      <c r="K1" s="1" t="s">
        <v>251</v>
      </c>
      <c r="L1" s="1" t="s">
        <v>2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3</v>
      </c>
    </row>
    <row r="2" spans="1:21" x14ac:dyDescent="0.3">
      <c r="A2" s="2" t="s">
        <v>4</v>
      </c>
      <c r="B2" s="2">
        <v>2002</v>
      </c>
      <c r="C2" s="2" t="s">
        <v>5</v>
      </c>
      <c r="D2" s="8">
        <f>518.407076</f>
        <v>518.40707599999996</v>
      </c>
      <c r="E2" s="4">
        <f>(D2*0.879199277802054)*1000000</f>
        <v>455783126.82667452</v>
      </c>
      <c r="F2" s="4">
        <v>4509222.1466278648</v>
      </c>
      <c r="G2" s="4">
        <v>489893160.7927146</v>
      </c>
      <c r="H2" s="4"/>
      <c r="I2" s="4">
        <v>494402382.93934238</v>
      </c>
      <c r="J2" s="3">
        <v>13.665688760856231</v>
      </c>
      <c r="K2" s="4">
        <v>4241.2915015658009</v>
      </c>
      <c r="L2" s="4">
        <v>17327699</v>
      </c>
      <c r="M2" s="3">
        <v>21.456945600000001</v>
      </c>
      <c r="N2" s="3">
        <v>27.4225159</v>
      </c>
      <c r="O2" s="3">
        <v>34.877751400000001</v>
      </c>
      <c r="P2" s="3">
        <v>29.526804200000001</v>
      </c>
      <c r="Q2" s="3">
        <v>31.214684299999998</v>
      </c>
      <c r="R2" s="3">
        <v>32.614381299999998</v>
      </c>
      <c r="S2" s="2">
        <v>1</v>
      </c>
      <c r="T2" s="2">
        <v>1</v>
      </c>
      <c r="U2" s="2">
        <v>0</v>
      </c>
    </row>
    <row r="3" spans="1:21" x14ac:dyDescent="0.3">
      <c r="A3" s="5" t="s">
        <v>4</v>
      </c>
      <c r="B3" s="5">
        <v>2003</v>
      </c>
      <c r="C3" s="5" t="s">
        <v>5</v>
      </c>
      <c r="D3" s="9">
        <v>648.73254199999997</v>
      </c>
      <c r="E3" s="7">
        <f t="shared" ref="E3:E66" si="0">(D3*0.879199277802054)*1000000</f>
        <v>570365182.41309071</v>
      </c>
      <c r="F3" s="7">
        <v>26796701.144163899</v>
      </c>
      <c r="G3" s="7"/>
      <c r="H3" s="7"/>
      <c r="I3" s="7">
        <v>26796701.144163899</v>
      </c>
      <c r="J3" s="6">
        <v>3.4873124009752128</v>
      </c>
      <c r="K3" s="7">
        <v>4322.1977321474151</v>
      </c>
      <c r="L3" s="7">
        <v>17943712</v>
      </c>
      <c r="M3" s="6">
        <v>21.0722451</v>
      </c>
      <c r="N3" s="6">
        <v>22.987123</v>
      </c>
      <c r="O3" s="6">
        <v>44.5305672</v>
      </c>
      <c r="P3" s="6">
        <v>28.9378584</v>
      </c>
      <c r="Q3" s="6">
        <v>28.134815199999998</v>
      </c>
      <c r="R3" s="6">
        <v>33.925371900000002</v>
      </c>
      <c r="S3" s="5">
        <v>1</v>
      </c>
      <c r="T3" s="5">
        <v>1</v>
      </c>
      <c r="U3" s="5">
        <v>0</v>
      </c>
    </row>
    <row r="4" spans="1:21" x14ac:dyDescent="0.3">
      <c r="A4" s="2" t="s">
        <v>4</v>
      </c>
      <c r="B4" s="2">
        <v>2004</v>
      </c>
      <c r="C4" s="2" t="s">
        <v>5</v>
      </c>
      <c r="D4" s="8">
        <v>1511.535525</v>
      </c>
      <c r="E4" s="4">
        <f t="shared" si="0"/>
        <v>1328940941.9521484</v>
      </c>
      <c r="F4" s="4">
        <v>0</v>
      </c>
      <c r="G4" s="4">
        <v>165462510.83138591</v>
      </c>
      <c r="H4" s="4">
        <v>824510068.122962</v>
      </c>
      <c r="I4" s="4">
        <v>989972578.95434785</v>
      </c>
      <c r="J4" s="3">
        <v>11.41986339045849</v>
      </c>
      <c r="K4" s="4">
        <v>4770.6880256346203</v>
      </c>
      <c r="L4" s="4">
        <v>18600423</v>
      </c>
      <c r="M4" s="3">
        <v>23.102135000000001</v>
      </c>
      <c r="N4" s="3">
        <v>21.5583861</v>
      </c>
      <c r="O4" s="3">
        <v>46.094522699999999</v>
      </c>
      <c r="P4" s="3">
        <v>32.323756899999999</v>
      </c>
      <c r="Q4" s="3">
        <v>31.9419501</v>
      </c>
      <c r="R4" s="3">
        <v>33.803629899999997</v>
      </c>
      <c r="S4" s="2">
        <v>1</v>
      </c>
      <c r="T4" s="2">
        <v>1</v>
      </c>
      <c r="U4" s="2">
        <v>0</v>
      </c>
    </row>
    <row r="5" spans="1:21" x14ac:dyDescent="0.3">
      <c r="A5" s="5" t="s">
        <v>4</v>
      </c>
      <c r="B5" s="5">
        <v>2005</v>
      </c>
      <c r="C5" s="5" t="s">
        <v>5</v>
      </c>
      <c r="D5" s="9">
        <v>530.21770900000001</v>
      </c>
      <c r="E5" s="7">
        <f t="shared" si="0"/>
        <v>466167026.83065963</v>
      </c>
      <c r="F5" s="7">
        <v>2170884.4196190299</v>
      </c>
      <c r="G5" s="7">
        <v>2775026805.908494</v>
      </c>
      <c r="H5" s="7">
        <v>82468867.285337597</v>
      </c>
      <c r="I5" s="7">
        <v>2859666557.613451</v>
      </c>
      <c r="J5" s="6">
        <v>14.15477753439542</v>
      </c>
      <c r="K5" s="7">
        <v>5415.6121201809883</v>
      </c>
      <c r="L5" s="7">
        <v>19291161</v>
      </c>
      <c r="M5" s="6">
        <v>21.6605916</v>
      </c>
      <c r="N5" s="6">
        <v>21.373211000000001</v>
      </c>
      <c r="O5" s="6">
        <v>49.295014999999999</v>
      </c>
      <c r="P5" s="6">
        <v>32.637953500000002</v>
      </c>
      <c r="Q5" s="6">
        <v>33.571295999999997</v>
      </c>
      <c r="R5" s="6">
        <v>35.692130900000002</v>
      </c>
      <c r="S5" s="5">
        <v>0</v>
      </c>
      <c r="T5" s="5">
        <v>0</v>
      </c>
      <c r="U5" s="5">
        <v>0</v>
      </c>
    </row>
    <row r="6" spans="1:21" x14ac:dyDescent="0.3">
      <c r="A6" s="2" t="s">
        <v>4</v>
      </c>
      <c r="B6" s="2">
        <v>2006</v>
      </c>
      <c r="C6" s="2" t="s">
        <v>5</v>
      </c>
      <c r="D6" s="8">
        <v>361.351043</v>
      </c>
      <c r="E6" s="4">
        <f t="shared" si="0"/>
        <v>317699576.03861892</v>
      </c>
      <c r="F6" s="4">
        <v>1171011.0108964839</v>
      </c>
      <c r="G6" s="4">
        <v>2453696746.8447318</v>
      </c>
      <c r="H6" s="4"/>
      <c r="I6" s="4">
        <v>2454867757.855629</v>
      </c>
      <c r="J6" s="3">
        <v>11.841817875704351</v>
      </c>
      <c r="K6" s="4">
        <v>6017.8181625251018</v>
      </c>
      <c r="L6" s="4">
        <v>20015279</v>
      </c>
      <c r="M6" s="3">
        <v>21.605690500000001</v>
      </c>
      <c r="N6" s="3">
        <v>22.32086</v>
      </c>
      <c r="O6" s="3">
        <v>54.425576199999988</v>
      </c>
      <c r="P6" s="3">
        <v>37.556073900000001</v>
      </c>
      <c r="Q6" s="3">
        <v>34.137414499999998</v>
      </c>
      <c r="R6" s="3">
        <v>34.740805899999998</v>
      </c>
      <c r="S6" s="2">
        <v>0</v>
      </c>
      <c r="T6" s="2">
        <v>0</v>
      </c>
      <c r="U6" s="2">
        <v>0</v>
      </c>
    </row>
    <row r="7" spans="1:21" x14ac:dyDescent="0.3">
      <c r="A7" s="5" t="s">
        <v>4</v>
      </c>
      <c r="B7" s="5">
        <v>2007</v>
      </c>
      <c r="C7" s="5" t="s">
        <v>5</v>
      </c>
      <c r="D7" s="9">
        <v>417.29186700000002</v>
      </c>
      <c r="E7" s="7">
        <f t="shared" si="0"/>
        <v>366882708.09907079</v>
      </c>
      <c r="F7" s="7">
        <v>12300695.38715025</v>
      </c>
      <c r="G7" s="7">
        <v>3841932219.6785998</v>
      </c>
      <c r="H7" s="7">
        <v>53977931.486523002</v>
      </c>
      <c r="I7" s="7">
        <v>3908210846.5522742</v>
      </c>
      <c r="J7" s="6">
        <v>13.0026889457975</v>
      </c>
      <c r="K7" s="7">
        <v>6727.9632885683077</v>
      </c>
      <c r="L7" s="7">
        <v>20778561</v>
      </c>
      <c r="M7" s="6">
        <v>21.937228600000001</v>
      </c>
      <c r="N7" s="6">
        <v>23.8657146</v>
      </c>
      <c r="O7" s="6">
        <v>53.133223299999997</v>
      </c>
      <c r="P7" s="6">
        <v>37.947801299999988</v>
      </c>
      <c r="Q7" s="6">
        <v>34.0577307</v>
      </c>
      <c r="R7" s="6">
        <v>35.230425799999999</v>
      </c>
      <c r="S7" s="5">
        <v>1</v>
      </c>
      <c r="T7" s="5">
        <v>1</v>
      </c>
      <c r="U7" s="5">
        <v>0</v>
      </c>
    </row>
    <row r="8" spans="1:21" x14ac:dyDescent="0.3">
      <c r="A8" s="2" t="s">
        <v>4</v>
      </c>
      <c r="B8" s="2">
        <v>2008</v>
      </c>
      <c r="C8" s="2" t="s">
        <v>5</v>
      </c>
      <c r="D8" s="8">
        <v>407.98694599999999</v>
      </c>
      <c r="E8" s="4">
        <f t="shared" si="0"/>
        <v>358701828.27586555</v>
      </c>
      <c r="F8" s="4"/>
      <c r="G8" s="4">
        <v>198727772.53490871</v>
      </c>
      <c r="H8" s="4"/>
      <c r="I8" s="4">
        <v>198727772.53490871</v>
      </c>
      <c r="J8" s="3">
        <v>10.78663604965813</v>
      </c>
      <c r="K8" s="4">
        <v>7315.6023305666649</v>
      </c>
      <c r="L8" s="4">
        <v>21578655</v>
      </c>
      <c r="M8" s="3">
        <v>22.149578500000001</v>
      </c>
      <c r="N8" s="3">
        <v>25.600119299999999</v>
      </c>
      <c r="O8" s="3">
        <v>57.843013399999997</v>
      </c>
      <c r="P8" s="3">
        <v>37.798715600000001</v>
      </c>
      <c r="Q8" s="3">
        <v>35.392396599999998</v>
      </c>
      <c r="R8" s="3">
        <v>37.987444099999998</v>
      </c>
      <c r="S8" s="2">
        <v>0</v>
      </c>
      <c r="T8" s="2">
        <v>0</v>
      </c>
      <c r="U8" s="2">
        <v>0</v>
      </c>
    </row>
    <row r="9" spans="1:21" x14ac:dyDescent="0.3">
      <c r="A9" s="5" t="s">
        <v>4</v>
      </c>
      <c r="B9" s="5">
        <v>2009</v>
      </c>
      <c r="C9" s="5" t="s">
        <v>5</v>
      </c>
      <c r="D9" s="9">
        <v>318.88917099999998</v>
      </c>
      <c r="E9" s="7">
        <f t="shared" si="0"/>
        <v>280367128.84209567</v>
      </c>
      <c r="F9" s="7">
        <v>3821256.44056558</v>
      </c>
      <c r="G9" s="7">
        <v>2410726127.48104</v>
      </c>
      <c r="H9" s="7">
        <v>977808541.42688799</v>
      </c>
      <c r="I9" s="7">
        <v>3392355925.3484941</v>
      </c>
      <c r="J9" s="6">
        <v>1.9955890978896349</v>
      </c>
      <c r="K9" s="7">
        <v>7227.5636423758842</v>
      </c>
      <c r="L9" s="7">
        <v>22414773</v>
      </c>
      <c r="M9" s="6">
        <v>22.097808799999999</v>
      </c>
      <c r="N9" s="6">
        <v>30.001864300000001</v>
      </c>
      <c r="O9" s="6">
        <v>56.895312500000003</v>
      </c>
      <c r="P9" s="6">
        <v>37.948555200000001</v>
      </c>
      <c r="Q9" s="6">
        <v>35.799458999999999</v>
      </c>
      <c r="R9" s="6">
        <v>37.696792500000001</v>
      </c>
      <c r="S9" s="5">
        <v>1</v>
      </c>
      <c r="T9" s="5">
        <v>1</v>
      </c>
      <c r="U9" s="5">
        <v>0</v>
      </c>
    </row>
    <row r="10" spans="1:21" x14ac:dyDescent="0.3">
      <c r="A10" s="2" t="s">
        <v>4</v>
      </c>
      <c r="B10" s="2">
        <v>2010</v>
      </c>
      <c r="C10" s="2" t="s">
        <v>5</v>
      </c>
      <c r="D10" s="8">
        <v>315.84685400000001</v>
      </c>
      <c r="E10" s="4">
        <f t="shared" si="0"/>
        <v>277692325.93285078</v>
      </c>
      <c r="F10" s="4">
        <v>62444523.143273473</v>
      </c>
      <c r="G10" s="4">
        <v>4261744423.5364952</v>
      </c>
      <c r="H10" s="4">
        <v>38996354.2022947</v>
      </c>
      <c r="I10" s="4">
        <v>4363185300.8820629</v>
      </c>
      <c r="J10" s="3">
        <v>5.2936657281995423</v>
      </c>
      <c r="K10" s="4">
        <v>7411.6546088362384</v>
      </c>
      <c r="L10" s="4">
        <v>23294825</v>
      </c>
      <c r="M10" s="3">
        <v>20.9936978</v>
      </c>
      <c r="N10" s="3">
        <v>32.839468199999999</v>
      </c>
      <c r="O10" s="3">
        <v>61.247032999999988</v>
      </c>
      <c r="P10" s="3">
        <v>37.749806900000003</v>
      </c>
      <c r="Q10" s="3">
        <v>35.654525999999997</v>
      </c>
      <c r="R10" s="3">
        <v>37.096093099999997</v>
      </c>
      <c r="S10" s="2">
        <v>0</v>
      </c>
      <c r="T10" s="2">
        <v>0</v>
      </c>
      <c r="U10" s="2">
        <v>0</v>
      </c>
    </row>
    <row r="11" spans="1:21" x14ac:dyDescent="0.3">
      <c r="A11" s="5" t="s">
        <v>4</v>
      </c>
      <c r="B11" s="5">
        <v>2011</v>
      </c>
      <c r="C11" s="5" t="s">
        <v>5</v>
      </c>
      <c r="D11" s="9">
        <v>275.12727799999999</v>
      </c>
      <c r="E11" s="7">
        <f t="shared" si="0"/>
        <v>241891704.12124491</v>
      </c>
      <c r="F11" s="7">
        <v>381435.05802908371</v>
      </c>
      <c r="G11" s="7">
        <v>2620874666.4382572</v>
      </c>
      <c r="H11" s="7">
        <v>143895981.21692899</v>
      </c>
      <c r="I11" s="7">
        <v>2765152082.7132149</v>
      </c>
      <c r="J11" s="6">
        <v>3.5938696024022221</v>
      </c>
      <c r="K11" s="7">
        <v>7537.5965640334489</v>
      </c>
      <c r="L11" s="7">
        <v>24218352</v>
      </c>
      <c r="M11" s="6">
        <v>20.1489376</v>
      </c>
      <c r="N11" s="6">
        <v>31.706399000000001</v>
      </c>
      <c r="O11" s="6">
        <v>57.444764399999997</v>
      </c>
      <c r="P11" s="6">
        <v>37.371732799999997</v>
      </c>
      <c r="Q11" s="6">
        <v>34.447162400000003</v>
      </c>
      <c r="R11" s="6">
        <v>37.452736100000003</v>
      </c>
      <c r="S11" s="5">
        <v>0</v>
      </c>
      <c r="T11" s="5">
        <v>0</v>
      </c>
      <c r="U11" s="5">
        <v>0</v>
      </c>
    </row>
    <row r="12" spans="1:21" x14ac:dyDescent="0.3">
      <c r="A12" s="2" t="s">
        <v>4</v>
      </c>
      <c r="B12" s="2">
        <v>2012</v>
      </c>
      <c r="C12" s="2" t="s">
        <v>5</v>
      </c>
      <c r="D12" s="8">
        <v>329.70489199999997</v>
      </c>
      <c r="E12" s="4">
        <f t="shared" si="0"/>
        <v>289876302.93420422</v>
      </c>
      <c r="F12" s="4">
        <v>18611390.211077701</v>
      </c>
      <c r="G12" s="4">
        <v>1199954276.2002079</v>
      </c>
      <c r="H12" s="4">
        <v>396519137.36492622</v>
      </c>
      <c r="I12" s="4">
        <v>1615084803.776212</v>
      </c>
      <c r="J12" s="3">
        <v>8.5031228386661155</v>
      </c>
      <c r="K12" s="4">
        <v>8246.3608115160896</v>
      </c>
      <c r="L12" s="4">
        <v>25177394</v>
      </c>
      <c r="M12" s="3">
        <v>18.718187</v>
      </c>
      <c r="N12" s="3">
        <v>31.523145</v>
      </c>
      <c r="O12" s="3">
        <v>58.353560199999997</v>
      </c>
      <c r="P12" s="3">
        <v>38.501282000000003</v>
      </c>
      <c r="Q12" s="3">
        <v>33.835528500000002</v>
      </c>
      <c r="R12" s="3">
        <v>38.3107343</v>
      </c>
      <c r="S12" s="2">
        <v>0</v>
      </c>
      <c r="T12" s="2">
        <v>0</v>
      </c>
      <c r="U12" s="2">
        <v>0</v>
      </c>
    </row>
    <row r="13" spans="1:21" x14ac:dyDescent="0.3">
      <c r="A13" s="5" t="s">
        <v>4</v>
      </c>
      <c r="B13" s="5">
        <v>2013</v>
      </c>
      <c r="C13" s="5" t="s">
        <v>5</v>
      </c>
      <c r="D13" s="9">
        <v>375.37084199999998</v>
      </c>
      <c r="E13" s="7">
        <f t="shared" si="0"/>
        <v>330025773.19434893</v>
      </c>
      <c r="F13" s="7">
        <v>36691951.284432098</v>
      </c>
      <c r="G13" s="7">
        <v>4070339128.0235119</v>
      </c>
      <c r="H13" s="7">
        <v>1085021585.830529</v>
      </c>
      <c r="I13" s="7">
        <v>5192052665.1384726</v>
      </c>
      <c r="J13" s="6">
        <v>4.8830612968839233</v>
      </c>
      <c r="K13" s="7">
        <v>8504.0953207205257</v>
      </c>
      <c r="L13" s="7">
        <v>26165620</v>
      </c>
      <c r="M13" s="6">
        <v>18.283953499999999</v>
      </c>
      <c r="N13" s="6">
        <v>31.3397218</v>
      </c>
      <c r="O13" s="6">
        <v>55.473291499999988</v>
      </c>
      <c r="P13" s="6">
        <v>37.546178900000001</v>
      </c>
      <c r="Q13" s="6">
        <v>33.513851799999998</v>
      </c>
      <c r="R13" s="6">
        <v>37.687652700000001</v>
      </c>
      <c r="S13" s="5">
        <v>0</v>
      </c>
      <c r="T13" s="5">
        <v>0</v>
      </c>
      <c r="U13" s="5">
        <v>0</v>
      </c>
    </row>
    <row r="14" spans="1:21" x14ac:dyDescent="0.3">
      <c r="A14" s="2" t="s">
        <v>4</v>
      </c>
      <c r="B14" s="2">
        <v>2014</v>
      </c>
      <c r="C14" s="2" t="s">
        <v>5</v>
      </c>
      <c r="D14" s="8">
        <v>322.28765499999997</v>
      </c>
      <c r="E14" s="4">
        <f t="shared" si="0"/>
        <v>283355073.52051753</v>
      </c>
      <c r="F14" s="4">
        <v>62887.745780304896</v>
      </c>
      <c r="G14" s="4">
        <v>2435055961.4829702</v>
      </c>
      <c r="H14" s="4">
        <v>2545908366.3343759</v>
      </c>
      <c r="I14" s="4">
        <v>4981027215.5631285</v>
      </c>
      <c r="J14" s="3">
        <v>4.6557235631558456</v>
      </c>
      <c r="K14" s="4">
        <v>9017.6901816226909</v>
      </c>
      <c r="L14" s="4">
        <v>27160769</v>
      </c>
      <c r="M14" s="3">
        <v>17.767012999999999</v>
      </c>
      <c r="N14" s="3">
        <v>33.062877999999998</v>
      </c>
      <c r="O14" s="3">
        <v>57.199399199999988</v>
      </c>
      <c r="P14" s="3">
        <v>38.663252900000003</v>
      </c>
      <c r="Q14" s="3">
        <v>34.501297000000001</v>
      </c>
      <c r="R14" s="3">
        <v>37.064882699999998</v>
      </c>
      <c r="S14" s="2">
        <v>0</v>
      </c>
      <c r="T14" s="2">
        <v>0</v>
      </c>
      <c r="U14" s="2">
        <v>0</v>
      </c>
    </row>
    <row r="15" spans="1:21" x14ac:dyDescent="0.3">
      <c r="A15" s="5" t="s">
        <v>4</v>
      </c>
      <c r="B15" s="5">
        <v>2015</v>
      </c>
      <c r="C15" s="5" t="s">
        <v>5</v>
      </c>
      <c r="D15" s="9">
        <v>484.242209</v>
      </c>
      <c r="E15" s="7">
        <f t="shared" si="0"/>
        <v>425745400.4340713</v>
      </c>
      <c r="F15" s="7">
        <v>35710.788281448098</v>
      </c>
      <c r="G15" s="7">
        <v>6206188708.7448587</v>
      </c>
      <c r="H15" s="7"/>
      <c r="I15" s="7">
        <v>6206224419.5331402</v>
      </c>
      <c r="J15" s="6">
        <v>0.76317771091478903</v>
      </c>
      <c r="K15" s="7">
        <v>8067.4858468301818</v>
      </c>
      <c r="L15" s="7">
        <v>28157798</v>
      </c>
      <c r="M15" s="6">
        <v>17.780665899999999</v>
      </c>
      <c r="N15" s="6">
        <v>33.105415700000002</v>
      </c>
      <c r="O15" s="6">
        <v>56.344026100000001</v>
      </c>
      <c r="P15" s="6">
        <v>37.664144399999998</v>
      </c>
      <c r="Q15" s="6">
        <v>34.442272899999999</v>
      </c>
      <c r="R15" s="6">
        <v>36.646119900000002</v>
      </c>
      <c r="S15" s="5">
        <v>0</v>
      </c>
      <c r="T15" s="5">
        <v>0</v>
      </c>
      <c r="U15" s="5">
        <v>0</v>
      </c>
    </row>
    <row r="16" spans="1:21" x14ac:dyDescent="0.3">
      <c r="A16" s="2" t="s">
        <v>4</v>
      </c>
      <c r="B16" s="2">
        <v>2016</v>
      </c>
      <c r="C16" s="2" t="s">
        <v>5</v>
      </c>
      <c r="D16" s="8">
        <v>339.96652</v>
      </c>
      <c r="E16" s="4">
        <f t="shared" si="0"/>
        <v>298898318.86087757</v>
      </c>
      <c r="F16" s="4">
        <v>14813365.274994191</v>
      </c>
      <c r="G16" s="4">
        <v>17255356667.11816</v>
      </c>
      <c r="H16" s="4">
        <v>712401859.05984473</v>
      </c>
      <c r="I16" s="4">
        <v>17982571891.452999</v>
      </c>
      <c r="J16" s="3">
        <v>-1.700530362912076</v>
      </c>
      <c r="K16" s="4">
        <v>7766.8378752554609</v>
      </c>
      <c r="L16" s="4">
        <v>29183070</v>
      </c>
      <c r="M16" s="3">
        <v>17.731493199999999</v>
      </c>
      <c r="N16" s="3">
        <v>32.880623399999998</v>
      </c>
      <c r="O16" s="3">
        <v>58.470251500000003</v>
      </c>
      <c r="P16" s="3">
        <v>36.245836300000001</v>
      </c>
      <c r="Q16" s="3">
        <v>34.095534000000001</v>
      </c>
      <c r="R16" s="3">
        <v>35.9341151</v>
      </c>
      <c r="S16" s="2">
        <v>1</v>
      </c>
      <c r="T16" s="2">
        <v>1</v>
      </c>
      <c r="U16" s="2">
        <v>0</v>
      </c>
    </row>
    <row r="17" spans="1:21" x14ac:dyDescent="0.3">
      <c r="A17" s="5" t="s">
        <v>4</v>
      </c>
      <c r="B17" s="5">
        <v>2017</v>
      </c>
      <c r="C17" s="5" t="s">
        <v>5</v>
      </c>
      <c r="D17" s="9">
        <v>348.48771399999998</v>
      </c>
      <c r="E17" s="7">
        <f t="shared" si="0"/>
        <v>306390146.47168869</v>
      </c>
      <c r="F17" s="7">
        <v>34570.144710629203</v>
      </c>
      <c r="G17" s="7">
        <v>2304676314.0419402</v>
      </c>
      <c r="H17" s="7">
        <v>694398973.42083848</v>
      </c>
      <c r="I17" s="7">
        <v>2999109857.6074891</v>
      </c>
      <c r="J17" s="6">
        <v>-0.14939622557183441</v>
      </c>
      <c r="K17" s="7">
        <v>8006.8366149769636</v>
      </c>
      <c r="L17" s="7">
        <v>30234839</v>
      </c>
      <c r="M17" s="6">
        <v>19.095466999999999</v>
      </c>
      <c r="N17" s="6">
        <v>32.516417500000003</v>
      </c>
      <c r="O17" s="6">
        <v>56.717909900000002</v>
      </c>
      <c r="P17" s="6">
        <v>36.252696899999997</v>
      </c>
      <c r="Q17" s="6">
        <v>34.0451221</v>
      </c>
      <c r="R17" s="6">
        <v>37.044105399999999</v>
      </c>
      <c r="S17" s="5">
        <v>1</v>
      </c>
      <c r="T17" s="5">
        <v>1</v>
      </c>
      <c r="U17" s="5">
        <v>0</v>
      </c>
    </row>
    <row r="18" spans="1:21" x14ac:dyDescent="0.3">
      <c r="A18" s="2" t="s">
        <v>4</v>
      </c>
      <c r="B18" s="2">
        <v>2018</v>
      </c>
      <c r="C18" s="2" t="s">
        <v>5</v>
      </c>
      <c r="D18" s="8">
        <v>272.981876</v>
      </c>
      <c r="E18" s="4">
        <f t="shared" si="0"/>
        <v>240005468.23224986</v>
      </c>
      <c r="F18" s="4">
        <v>17318262.762570821</v>
      </c>
      <c r="G18" s="4">
        <v>2073847722.3807111</v>
      </c>
      <c r="H18" s="4">
        <v>2266887475.5876441</v>
      </c>
      <c r="I18" s="4">
        <v>4358053460.7309256</v>
      </c>
      <c r="J18" s="3">
        <v>-0.5944112269830697</v>
      </c>
      <c r="K18" s="4">
        <v>8278.3688617046937</v>
      </c>
      <c r="L18" s="4">
        <v>31297155</v>
      </c>
      <c r="M18" s="3">
        <v>23.933746299999999</v>
      </c>
      <c r="N18" s="3">
        <v>32.315278800000002</v>
      </c>
      <c r="O18" s="3">
        <v>58.962479999999999</v>
      </c>
      <c r="P18" s="3">
        <v>38.106614800000003</v>
      </c>
      <c r="Q18" s="3">
        <v>37.851326</v>
      </c>
      <c r="R18" s="3">
        <v>39.247546300000003</v>
      </c>
      <c r="S18" s="2">
        <v>0</v>
      </c>
      <c r="T18" s="2">
        <v>0</v>
      </c>
      <c r="U18" s="2">
        <v>0</v>
      </c>
    </row>
    <row r="19" spans="1:21" x14ac:dyDescent="0.3">
      <c r="A19" s="5" t="s">
        <v>4</v>
      </c>
      <c r="B19" s="5">
        <v>2019</v>
      </c>
      <c r="C19" s="5" t="s">
        <v>5</v>
      </c>
      <c r="D19" s="9">
        <v>255.67430999999999</v>
      </c>
      <c r="E19" s="7">
        <f t="shared" si="0"/>
        <v>224788668.70453846</v>
      </c>
      <c r="F19" s="7">
        <v>31459809.143339898</v>
      </c>
      <c r="G19" s="7"/>
      <c r="H19" s="7">
        <v>119578480.628232</v>
      </c>
      <c r="I19" s="7">
        <v>151038289.7715719</v>
      </c>
      <c r="J19" s="6">
        <v>-0.20468024574411459</v>
      </c>
      <c r="K19" s="7">
        <v>8572.8789561067133</v>
      </c>
      <c r="L19" s="7">
        <v>32375632</v>
      </c>
      <c r="M19" s="6">
        <v>28.325819200000002</v>
      </c>
      <c r="N19" s="6">
        <v>33.613433499999999</v>
      </c>
      <c r="O19" s="6">
        <v>58.7080974</v>
      </c>
      <c r="P19" s="6">
        <v>39.153109999999998</v>
      </c>
      <c r="Q19" s="6">
        <v>38.859597800000003</v>
      </c>
      <c r="R19" s="6">
        <v>40.428096199999999</v>
      </c>
      <c r="S19" s="5">
        <v>1</v>
      </c>
      <c r="T19" s="5">
        <v>1</v>
      </c>
      <c r="U19" s="5">
        <v>0</v>
      </c>
    </row>
    <row r="20" spans="1:21" x14ac:dyDescent="0.3">
      <c r="A20" s="2" t="s">
        <v>4</v>
      </c>
      <c r="B20" s="2">
        <v>2020</v>
      </c>
      <c r="C20" s="2" t="s">
        <v>5</v>
      </c>
      <c r="D20" s="8">
        <v>207.98770400000001</v>
      </c>
      <c r="E20" s="4">
        <f t="shared" si="0"/>
        <v>182862639.14850739</v>
      </c>
      <c r="F20" s="4">
        <v>57615113.603116013</v>
      </c>
      <c r="G20" s="4">
        <v>0</v>
      </c>
      <c r="H20" s="4">
        <v>8934696.0190991908</v>
      </c>
      <c r="I20" s="4">
        <v>66549809.622215196</v>
      </c>
      <c r="J20" s="3">
        <v>-4.0424472463966339</v>
      </c>
      <c r="K20" s="4">
        <v>7827.4280432581772</v>
      </c>
      <c r="L20" s="4">
        <v>33451132</v>
      </c>
      <c r="M20" s="3">
        <v>29.802773200000001</v>
      </c>
      <c r="N20" s="3">
        <v>31.578346499999999</v>
      </c>
      <c r="O20" s="3">
        <v>54.914965700000003</v>
      </c>
      <c r="P20" s="3">
        <v>38.478149999999999</v>
      </c>
      <c r="Q20" s="3">
        <v>40.657503599999998</v>
      </c>
      <c r="R20" s="3">
        <v>40.437334</v>
      </c>
      <c r="S20" s="2">
        <v>1</v>
      </c>
      <c r="T20" s="2">
        <v>1</v>
      </c>
      <c r="U20" s="2">
        <v>0</v>
      </c>
    </row>
    <row r="21" spans="1:21" x14ac:dyDescent="0.3">
      <c r="A21" s="5" t="s">
        <v>4</v>
      </c>
      <c r="B21" s="5">
        <v>2021</v>
      </c>
      <c r="C21" s="5" t="s">
        <v>5</v>
      </c>
      <c r="D21" s="9">
        <v>321.13570700000002</v>
      </c>
      <c r="E21" s="7">
        <f t="shared" si="0"/>
        <v>282342281.67085207</v>
      </c>
      <c r="F21" s="7">
        <v>3600000</v>
      </c>
      <c r="G21" s="7">
        <v>0</v>
      </c>
      <c r="H21" s="7">
        <v>79700000</v>
      </c>
      <c r="I21" s="7">
        <v>83300000</v>
      </c>
      <c r="J21" s="6">
        <v>2.1027525192341301</v>
      </c>
      <c r="K21" s="7">
        <v>8862.2813331452089</v>
      </c>
      <c r="L21" s="7">
        <v>34532429</v>
      </c>
      <c r="M21" s="6">
        <v>34.866834699999998</v>
      </c>
      <c r="N21" s="6">
        <v>33.166137399999997</v>
      </c>
      <c r="O21" s="6">
        <v>52.3383191</v>
      </c>
      <c r="P21" s="6">
        <v>41.478874099999999</v>
      </c>
      <c r="Q21" s="6">
        <v>38.067125799999999</v>
      </c>
      <c r="R21" s="6">
        <v>39.372855399999999</v>
      </c>
      <c r="S21" s="5">
        <v>0</v>
      </c>
      <c r="T21" s="5">
        <v>0</v>
      </c>
      <c r="U21" s="5">
        <v>0</v>
      </c>
    </row>
    <row r="22" spans="1:21" x14ac:dyDescent="0.3">
      <c r="A22" s="5" t="s">
        <v>6</v>
      </c>
      <c r="B22" s="5">
        <v>2002</v>
      </c>
      <c r="C22" s="5" t="s">
        <v>7</v>
      </c>
      <c r="D22" s="9">
        <v>330.48376200000001</v>
      </c>
      <c r="E22" s="7">
        <f t="shared" si="0"/>
        <v>290561084.8757059</v>
      </c>
      <c r="F22" s="7">
        <v>68316745.408870056</v>
      </c>
      <c r="G22" s="7"/>
      <c r="H22" s="7"/>
      <c r="I22" s="7">
        <v>68316745.408870056</v>
      </c>
      <c r="J22" s="6">
        <v>4.6430308707448233</v>
      </c>
      <c r="K22" s="7">
        <v>1799.8826963949889</v>
      </c>
      <c r="L22" s="7">
        <v>7675426</v>
      </c>
      <c r="M22" s="6">
        <v>30.8336644</v>
      </c>
      <c r="N22" s="6">
        <v>38.9798197</v>
      </c>
      <c r="O22" s="6">
        <v>76.469196999999994</v>
      </c>
      <c r="P22" s="6">
        <v>46.093960899999999</v>
      </c>
      <c r="Q22" s="6">
        <v>50.2359054</v>
      </c>
      <c r="R22" s="6">
        <v>56.0156834</v>
      </c>
      <c r="S22" s="5">
        <v>0</v>
      </c>
      <c r="T22" s="5">
        <v>0</v>
      </c>
      <c r="U22" s="5">
        <v>0</v>
      </c>
    </row>
    <row r="23" spans="1:21" x14ac:dyDescent="0.3">
      <c r="A23" s="2" t="s">
        <v>6</v>
      </c>
      <c r="B23" s="2">
        <v>2003</v>
      </c>
      <c r="C23" s="2" t="s">
        <v>7</v>
      </c>
      <c r="D23" s="8">
        <v>449.69528700000001</v>
      </c>
      <c r="E23" s="4">
        <f t="shared" si="0"/>
        <v>395371771.56138742</v>
      </c>
      <c r="F23" s="4">
        <v>0</v>
      </c>
      <c r="G23" s="4"/>
      <c r="H23" s="4"/>
      <c r="I23" s="4">
        <v>0</v>
      </c>
      <c r="J23" s="3">
        <v>3.4435767759165832</v>
      </c>
      <c r="K23" s="4">
        <v>1841.602972838738</v>
      </c>
      <c r="L23" s="4">
        <v>7913070</v>
      </c>
      <c r="M23" s="3">
        <v>30.793997099999999</v>
      </c>
      <c r="N23" s="3">
        <v>38.800065600000003</v>
      </c>
      <c r="O23" s="3">
        <v>75.756788299999997</v>
      </c>
      <c r="P23" s="3">
        <v>46.094486000000003</v>
      </c>
      <c r="Q23" s="3">
        <v>48.847591999999999</v>
      </c>
      <c r="R23" s="3">
        <v>58.204129799999997</v>
      </c>
      <c r="S23" s="2">
        <v>0</v>
      </c>
      <c r="T23" s="2">
        <v>0</v>
      </c>
      <c r="U23" s="2">
        <v>0</v>
      </c>
    </row>
    <row r="24" spans="1:21" x14ac:dyDescent="0.3">
      <c r="A24" s="5" t="s">
        <v>6</v>
      </c>
      <c r="B24" s="5">
        <v>2004</v>
      </c>
      <c r="C24" s="5" t="s">
        <v>7</v>
      </c>
      <c r="D24" s="9">
        <v>549.34866299999999</v>
      </c>
      <c r="E24" s="7">
        <f t="shared" si="0"/>
        <v>482986947.77112395</v>
      </c>
      <c r="F24" s="7">
        <v>5141569.2577912696</v>
      </c>
      <c r="G24" s="7">
        <v>0</v>
      </c>
      <c r="H24" s="7"/>
      <c r="I24" s="7">
        <v>5141569.2577912696</v>
      </c>
      <c r="J24" s="6">
        <v>4.4296845538508194</v>
      </c>
      <c r="K24" s="7">
        <v>1915.346443463812</v>
      </c>
      <c r="L24" s="7">
        <v>8159094</v>
      </c>
      <c r="M24" s="6">
        <v>37.543662300000001</v>
      </c>
      <c r="N24" s="6">
        <v>42.662524900000001</v>
      </c>
      <c r="O24" s="6">
        <v>68.915096699999992</v>
      </c>
      <c r="P24" s="6">
        <v>45.273905300000003</v>
      </c>
      <c r="Q24" s="6">
        <v>50.3164102</v>
      </c>
      <c r="R24" s="6">
        <v>59.869430399999999</v>
      </c>
      <c r="S24" s="5">
        <v>0</v>
      </c>
      <c r="T24" s="5">
        <v>0</v>
      </c>
      <c r="U24" s="5">
        <v>0</v>
      </c>
    </row>
    <row r="25" spans="1:21" x14ac:dyDescent="0.3">
      <c r="A25" s="2" t="s">
        <v>6</v>
      </c>
      <c r="B25" s="2">
        <v>2005</v>
      </c>
      <c r="C25" s="2" t="s">
        <v>7</v>
      </c>
      <c r="D25" s="8">
        <v>482.702449</v>
      </c>
      <c r="E25" s="4">
        <f t="shared" si="0"/>
        <v>424391644.55408281</v>
      </c>
      <c r="F25" s="4">
        <v>20924507.75212881</v>
      </c>
      <c r="G25" s="4">
        <v>148962188.964928</v>
      </c>
      <c r="H25" s="4"/>
      <c r="I25" s="4">
        <v>169886696.71705681</v>
      </c>
      <c r="J25" s="3">
        <v>1.7131645636118411</v>
      </c>
      <c r="K25" s="4">
        <v>1945.564140522958</v>
      </c>
      <c r="L25" s="4">
        <v>8426144</v>
      </c>
      <c r="M25" s="3">
        <v>33.590579599999998</v>
      </c>
      <c r="N25" s="3">
        <v>39.413541899999998</v>
      </c>
      <c r="O25" s="3">
        <v>73.828678799999992</v>
      </c>
      <c r="P25" s="3">
        <v>47.187073299999987</v>
      </c>
      <c r="Q25" s="3">
        <v>50.0116035</v>
      </c>
      <c r="R25" s="3">
        <v>59.338455600000003</v>
      </c>
      <c r="S25" s="2">
        <v>0</v>
      </c>
      <c r="T25" s="2">
        <v>0</v>
      </c>
      <c r="U25" s="2">
        <v>0</v>
      </c>
    </row>
    <row r="26" spans="1:21" x14ac:dyDescent="0.3">
      <c r="A26" s="5" t="s">
        <v>6</v>
      </c>
      <c r="B26" s="5">
        <v>2006</v>
      </c>
      <c r="C26" s="5" t="s">
        <v>7</v>
      </c>
      <c r="D26" s="9">
        <v>1854.308759</v>
      </c>
      <c r="E26" s="7">
        <f t="shared" si="0"/>
        <v>1630306921.734823</v>
      </c>
      <c r="F26" s="7">
        <v>7628056.5837289989</v>
      </c>
      <c r="G26" s="7"/>
      <c r="H26" s="7"/>
      <c r="I26" s="7">
        <v>7628056.5837289989</v>
      </c>
      <c r="J26" s="6">
        <v>3.9437388281579762</v>
      </c>
      <c r="K26" s="7">
        <v>2020.605677347221</v>
      </c>
      <c r="L26" s="7">
        <v>8693242</v>
      </c>
      <c r="M26" s="6">
        <v>39.193563900000001</v>
      </c>
      <c r="N26" s="6">
        <v>37.862951299999999</v>
      </c>
      <c r="O26" s="6">
        <v>76.247365099999996</v>
      </c>
      <c r="P26" s="6">
        <v>47.291199400000004</v>
      </c>
      <c r="Q26" s="6">
        <v>51.934051099999998</v>
      </c>
      <c r="R26" s="6">
        <v>64.207609599999998</v>
      </c>
      <c r="S26" s="5">
        <v>0</v>
      </c>
      <c r="T26" s="5">
        <v>0</v>
      </c>
      <c r="U26" s="5">
        <v>0</v>
      </c>
    </row>
    <row r="27" spans="1:21" x14ac:dyDescent="0.3">
      <c r="A27" s="2" t="s">
        <v>6</v>
      </c>
      <c r="B27" s="2">
        <v>2007</v>
      </c>
      <c r="C27" s="2" t="s">
        <v>7</v>
      </c>
      <c r="D27" s="8">
        <v>518.64967000000001</v>
      </c>
      <c r="E27" s="4">
        <f t="shared" si="0"/>
        <v>455996415.29627365</v>
      </c>
      <c r="F27" s="4">
        <v>37848293.498924002</v>
      </c>
      <c r="G27" s="4"/>
      <c r="H27" s="4"/>
      <c r="I27" s="4">
        <v>37848293.498924002</v>
      </c>
      <c r="J27" s="3">
        <v>5.986349321776089</v>
      </c>
      <c r="K27" s="4">
        <v>2135.5378787372128</v>
      </c>
      <c r="L27" s="4">
        <v>8953969</v>
      </c>
      <c r="M27" s="3">
        <v>41.008820700000001</v>
      </c>
      <c r="N27" s="3">
        <v>39.593970800000001</v>
      </c>
      <c r="O27" s="3">
        <v>73.674571999999998</v>
      </c>
      <c r="P27" s="3">
        <v>47.501534900000003</v>
      </c>
      <c r="Q27" s="3">
        <v>52.501434600000003</v>
      </c>
      <c r="R27" s="3">
        <v>63.323961399999988</v>
      </c>
      <c r="S27" s="2">
        <v>0</v>
      </c>
      <c r="T27" s="2">
        <v>0</v>
      </c>
      <c r="U27" s="2">
        <v>0</v>
      </c>
    </row>
    <row r="28" spans="1:21" x14ac:dyDescent="0.3">
      <c r="A28" s="5" t="s">
        <v>6</v>
      </c>
      <c r="B28" s="5">
        <v>2008</v>
      </c>
      <c r="C28" s="5" t="s">
        <v>7</v>
      </c>
      <c r="D28" s="9">
        <v>652.90622800000006</v>
      </c>
      <c r="E28" s="7">
        <f t="shared" si="0"/>
        <v>574034684.1300633</v>
      </c>
      <c r="F28" s="7">
        <v>43872283.828681499</v>
      </c>
      <c r="G28" s="7"/>
      <c r="H28" s="7"/>
      <c r="I28" s="7">
        <v>43872283.828681499</v>
      </c>
      <c r="J28" s="6">
        <v>4.8965770842964673</v>
      </c>
      <c r="K28" s="7">
        <v>2215.3516385954172</v>
      </c>
      <c r="L28" s="7">
        <v>9228466</v>
      </c>
      <c r="M28" s="6">
        <v>40.623852999999997</v>
      </c>
      <c r="N28" s="6">
        <v>40.981478500000001</v>
      </c>
      <c r="O28" s="6">
        <v>74.043187799999998</v>
      </c>
      <c r="P28" s="6">
        <v>46.413374699999999</v>
      </c>
      <c r="Q28" s="6">
        <v>50.961195400000001</v>
      </c>
      <c r="R28" s="6">
        <v>61.551517599999997</v>
      </c>
      <c r="S28" s="5">
        <v>0</v>
      </c>
      <c r="T28" s="5">
        <v>0</v>
      </c>
      <c r="U28" s="5">
        <v>0</v>
      </c>
    </row>
    <row r="29" spans="1:21" x14ac:dyDescent="0.3">
      <c r="A29" s="2" t="s">
        <v>6</v>
      </c>
      <c r="B29" s="2">
        <v>2009</v>
      </c>
      <c r="C29" s="2" t="s">
        <v>7</v>
      </c>
      <c r="D29" s="8">
        <v>730.423723</v>
      </c>
      <c r="E29" s="4">
        <f t="shared" si="0"/>
        <v>642188009.75108755</v>
      </c>
      <c r="F29" s="4">
        <v>28638555.79467541</v>
      </c>
      <c r="G29" s="4">
        <v>0</v>
      </c>
      <c r="H29" s="4">
        <v>0</v>
      </c>
      <c r="I29" s="4">
        <v>28638555.79467541</v>
      </c>
      <c r="J29" s="3">
        <v>2.3192921391283789</v>
      </c>
      <c r="K29" s="4">
        <v>2213.3289562080931</v>
      </c>
      <c r="L29" s="4">
        <v>9509423</v>
      </c>
      <c r="M29" s="3">
        <v>38.787741400000002</v>
      </c>
      <c r="N29" s="3">
        <v>42.371937899999999</v>
      </c>
      <c r="O29" s="3">
        <v>73.069169299999999</v>
      </c>
      <c r="P29" s="3">
        <v>48.348695199999987</v>
      </c>
      <c r="Q29" s="3">
        <v>49.9557444</v>
      </c>
      <c r="R29" s="3">
        <v>62.737638500000003</v>
      </c>
      <c r="S29" s="2">
        <v>0</v>
      </c>
      <c r="T29" s="2">
        <v>0</v>
      </c>
      <c r="U29" s="2">
        <v>0</v>
      </c>
    </row>
    <row r="30" spans="1:21" x14ac:dyDescent="0.3">
      <c r="A30" s="5" t="s">
        <v>6</v>
      </c>
      <c r="B30" s="5">
        <v>2010</v>
      </c>
      <c r="C30" s="5" t="s">
        <v>7</v>
      </c>
      <c r="D30" s="9">
        <v>778.55870300000004</v>
      </c>
      <c r="E30" s="7">
        <f t="shared" si="0"/>
        <v>684508249.40410388</v>
      </c>
      <c r="F30" s="7">
        <v>45264563.7282378</v>
      </c>
      <c r="G30" s="7"/>
      <c r="H30" s="7"/>
      <c r="I30" s="7">
        <v>45264563.7282378</v>
      </c>
      <c r="J30" s="6">
        <v>2.114064726483917</v>
      </c>
      <c r="K30" s="7">
        <v>2220.3285461148921</v>
      </c>
      <c r="L30" s="7">
        <v>9797484</v>
      </c>
      <c r="M30" s="6">
        <v>37.750277699999998</v>
      </c>
      <c r="N30" s="6">
        <v>41.965764</v>
      </c>
      <c r="O30" s="6">
        <v>71.241089599999995</v>
      </c>
      <c r="P30" s="6">
        <v>48.246032700000001</v>
      </c>
      <c r="Q30" s="6">
        <v>50.192272799999998</v>
      </c>
      <c r="R30" s="6">
        <v>62.040817199999999</v>
      </c>
      <c r="S30" s="5">
        <v>0</v>
      </c>
      <c r="T30" s="5">
        <v>0</v>
      </c>
      <c r="U30" s="5">
        <v>0</v>
      </c>
    </row>
    <row r="31" spans="1:21" x14ac:dyDescent="0.3">
      <c r="A31" s="2" t="s">
        <v>6</v>
      </c>
      <c r="B31" s="2">
        <v>2011</v>
      </c>
      <c r="C31" s="2" t="s">
        <v>7</v>
      </c>
      <c r="D31" s="8">
        <v>778.31897300000003</v>
      </c>
      <c r="E31" s="4">
        <f t="shared" si="0"/>
        <v>684297478.96123636</v>
      </c>
      <c r="F31" s="4">
        <v>15219974.0790751</v>
      </c>
      <c r="G31" s="4">
        <v>0</v>
      </c>
      <c r="H31" s="4"/>
      <c r="I31" s="4">
        <v>15219974.0790751</v>
      </c>
      <c r="J31" s="3">
        <v>2.9637529190420082</v>
      </c>
      <c r="K31" s="4">
        <v>2264.8418692638438</v>
      </c>
      <c r="L31" s="4">
        <v>10093623</v>
      </c>
      <c r="M31" s="3">
        <v>37.8241856</v>
      </c>
      <c r="N31" s="3">
        <v>42.653800400000002</v>
      </c>
      <c r="O31" s="3">
        <v>71.778502399999994</v>
      </c>
      <c r="P31" s="3">
        <v>47.5724795</v>
      </c>
      <c r="Q31" s="3">
        <v>49.202368200000002</v>
      </c>
      <c r="R31" s="3">
        <v>58.155492099999996</v>
      </c>
      <c r="S31" s="2">
        <v>0</v>
      </c>
      <c r="T31" s="2">
        <v>0</v>
      </c>
      <c r="U31" s="2">
        <v>0</v>
      </c>
    </row>
    <row r="32" spans="1:21" x14ac:dyDescent="0.3">
      <c r="A32" s="5" t="s">
        <v>6</v>
      </c>
      <c r="B32" s="5">
        <v>2012</v>
      </c>
      <c r="C32" s="5" t="s">
        <v>7</v>
      </c>
      <c r="D32" s="9">
        <v>585.09460300000001</v>
      </c>
      <c r="E32" s="7">
        <f t="shared" si="0"/>
        <v>514414752.40347952</v>
      </c>
      <c r="F32" s="7">
        <v>36666526.477369681</v>
      </c>
      <c r="G32" s="7"/>
      <c r="H32" s="7"/>
      <c r="I32" s="7">
        <v>36666526.477369681</v>
      </c>
      <c r="J32" s="6">
        <v>4.8112233156879967</v>
      </c>
      <c r="K32" s="7">
        <v>2346.0841620454689</v>
      </c>
      <c r="L32" s="7">
        <v>10397657</v>
      </c>
      <c r="M32" s="6">
        <v>34.1433739</v>
      </c>
      <c r="N32" s="6">
        <v>41.5909397</v>
      </c>
      <c r="O32" s="6">
        <v>71.914306299999993</v>
      </c>
      <c r="P32" s="6">
        <v>46.319725599999998</v>
      </c>
      <c r="Q32" s="6">
        <v>49.6069557</v>
      </c>
      <c r="R32" s="6">
        <v>57.773076799999998</v>
      </c>
      <c r="S32" s="5">
        <v>0</v>
      </c>
      <c r="T32" s="5">
        <v>0</v>
      </c>
      <c r="U32" s="5">
        <v>0</v>
      </c>
    </row>
    <row r="33" spans="1:21" x14ac:dyDescent="0.3">
      <c r="A33" s="2" t="s">
        <v>6</v>
      </c>
      <c r="B33" s="2">
        <v>2013</v>
      </c>
      <c r="C33" s="2" t="s">
        <v>7</v>
      </c>
      <c r="D33" s="8">
        <v>725.56942300000003</v>
      </c>
      <c r="E33" s="4">
        <f t="shared" si="0"/>
        <v>637920112.69685304</v>
      </c>
      <c r="F33" s="4">
        <v>256968707.5232293</v>
      </c>
      <c r="G33" s="4"/>
      <c r="H33" s="4"/>
      <c r="I33" s="4">
        <v>256968707.5232293</v>
      </c>
      <c r="J33" s="3">
        <v>7.1914337214494566</v>
      </c>
      <c r="K33" s="4">
        <v>2511.653095883325</v>
      </c>
      <c r="L33" s="4">
        <v>10708834</v>
      </c>
      <c r="M33" s="3">
        <v>36.239016399999997</v>
      </c>
      <c r="N33" s="3">
        <v>41.232771100000001</v>
      </c>
      <c r="O33" s="3">
        <v>71.555020400000004</v>
      </c>
      <c r="P33" s="3">
        <v>45.8641918</v>
      </c>
      <c r="Q33" s="3">
        <v>48.540745800000003</v>
      </c>
      <c r="R33" s="3">
        <v>57.757404999999999</v>
      </c>
      <c r="S33" s="2">
        <v>0</v>
      </c>
      <c r="T33" s="2">
        <v>0</v>
      </c>
      <c r="U33" s="2">
        <v>0</v>
      </c>
    </row>
    <row r="34" spans="1:21" x14ac:dyDescent="0.3">
      <c r="A34" s="5" t="s">
        <v>6</v>
      </c>
      <c r="B34" s="5">
        <v>2014</v>
      </c>
      <c r="C34" s="5" t="s">
        <v>7</v>
      </c>
      <c r="D34" s="9">
        <v>677.64384600000005</v>
      </c>
      <c r="E34" s="7">
        <f t="shared" si="0"/>
        <v>595783980.01020622</v>
      </c>
      <c r="F34" s="7">
        <v>8748583.8344087005</v>
      </c>
      <c r="G34" s="7"/>
      <c r="H34" s="7"/>
      <c r="I34" s="7">
        <v>8748583.8344087005</v>
      </c>
      <c r="J34" s="6">
        <v>6.3576790979193163</v>
      </c>
      <c r="K34" s="7">
        <v>2670.4156139918719</v>
      </c>
      <c r="L34" s="7">
        <v>11030004</v>
      </c>
      <c r="M34" s="6">
        <v>35.556401000000001</v>
      </c>
      <c r="N34" s="6">
        <v>42.646971600000001</v>
      </c>
      <c r="O34" s="6">
        <v>68.236555699999997</v>
      </c>
      <c r="P34" s="6">
        <v>46.071677399999999</v>
      </c>
      <c r="Q34" s="6">
        <v>48.7295248</v>
      </c>
      <c r="R34" s="6">
        <v>57.970933700000003</v>
      </c>
      <c r="S34" s="5">
        <v>0</v>
      </c>
      <c r="T34" s="5">
        <v>0</v>
      </c>
      <c r="U34" s="5">
        <v>0</v>
      </c>
    </row>
    <row r="35" spans="1:21" x14ac:dyDescent="0.3">
      <c r="A35" s="2" t="s">
        <v>6</v>
      </c>
      <c r="B35" s="2">
        <v>2015</v>
      </c>
      <c r="C35" s="2" t="s">
        <v>7</v>
      </c>
      <c r="D35" s="8">
        <v>569.26181299999996</v>
      </c>
      <c r="E35" s="4">
        <f t="shared" si="0"/>
        <v>500494574.86988783</v>
      </c>
      <c r="F35" s="4">
        <v>88562754.937991396</v>
      </c>
      <c r="G35" s="4">
        <v>237148050.607728</v>
      </c>
      <c r="H35" s="4"/>
      <c r="I35" s="4">
        <v>325710805.54571939</v>
      </c>
      <c r="J35" s="3">
        <v>1.778151060302775</v>
      </c>
      <c r="K35" s="4">
        <v>2725.33724817144</v>
      </c>
      <c r="L35" s="4">
        <v>11360681</v>
      </c>
      <c r="M35" s="3">
        <v>37.587416400000002</v>
      </c>
      <c r="N35" s="3">
        <v>40.820478100000003</v>
      </c>
      <c r="O35" s="3">
        <v>67.901583799999997</v>
      </c>
      <c r="P35" s="3">
        <v>46.371064699999998</v>
      </c>
      <c r="Q35" s="3">
        <v>49.810095399999987</v>
      </c>
      <c r="R35" s="3">
        <v>58.7445454</v>
      </c>
      <c r="S35" s="2">
        <v>0</v>
      </c>
      <c r="T35" s="2">
        <v>0</v>
      </c>
      <c r="U35" s="2">
        <v>0</v>
      </c>
    </row>
    <row r="36" spans="1:21" x14ac:dyDescent="0.3">
      <c r="A36" s="5" t="s">
        <v>6</v>
      </c>
      <c r="B36" s="5">
        <v>2016</v>
      </c>
      <c r="C36" s="5" t="s">
        <v>7</v>
      </c>
      <c r="D36" s="9">
        <v>651.02981799999998</v>
      </c>
      <c r="E36" s="7">
        <f t="shared" si="0"/>
        <v>572384945.81320262</v>
      </c>
      <c r="F36" s="7">
        <v>101109252.5737924</v>
      </c>
      <c r="G36" s="7"/>
      <c r="H36" s="7"/>
      <c r="I36" s="7">
        <v>101109252.5737924</v>
      </c>
      <c r="J36" s="6">
        <v>3.3396734262969261</v>
      </c>
      <c r="K36" s="7">
        <v>2842.0246258376051</v>
      </c>
      <c r="L36" s="7">
        <v>11697842</v>
      </c>
      <c r="M36" s="6">
        <v>39.078737699999998</v>
      </c>
      <c r="N36" s="6">
        <v>41.719449099999999</v>
      </c>
      <c r="O36" s="6">
        <v>70.028195199999999</v>
      </c>
      <c r="P36" s="6">
        <v>47.475385899999999</v>
      </c>
      <c r="Q36" s="6">
        <v>50.322657700000001</v>
      </c>
      <c r="R36" s="6">
        <v>60.6239767</v>
      </c>
      <c r="S36" s="5">
        <v>0</v>
      </c>
      <c r="T36" s="5">
        <v>0</v>
      </c>
      <c r="U36" s="5">
        <v>0</v>
      </c>
    </row>
    <row r="37" spans="1:21" x14ac:dyDescent="0.3">
      <c r="A37" s="2" t="s">
        <v>6</v>
      </c>
      <c r="B37" s="2">
        <v>2017</v>
      </c>
      <c r="C37" s="2" t="s">
        <v>7</v>
      </c>
      <c r="D37" s="8">
        <v>877.292012</v>
      </c>
      <c r="E37" s="4">
        <f t="shared" si="0"/>
        <v>771314503.37191081</v>
      </c>
      <c r="F37" s="4">
        <v>115915888.7765796</v>
      </c>
      <c r="G37" s="4"/>
      <c r="H37" s="4"/>
      <c r="I37" s="4">
        <v>115915888.7765796</v>
      </c>
      <c r="J37" s="3">
        <v>5.6715619515044438</v>
      </c>
      <c r="K37" s="4">
        <v>2885.8938398772111</v>
      </c>
      <c r="L37" s="4">
        <v>12039780</v>
      </c>
      <c r="M37" s="3">
        <v>39.715018200000003</v>
      </c>
      <c r="N37" s="3">
        <v>42.267315500000002</v>
      </c>
      <c r="O37" s="3">
        <v>71.285151599999992</v>
      </c>
      <c r="P37" s="3">
        <v>47.650189999999988</v>
      </c>
      <c r="Q37" s="3">
        <v>50.253937000000001</v>
      </c>
      <c r="R37" s="3">
        <v>60.446870699999998</v>
      </c>
      <c r="S37" s="2">
        <v>0</v>
      </c>
      <c r="T37" s="2">
        <v>0</v>
      </c>
      <c r="U37" s="2">
        <v>0</v>
      </c>
    </row>
    <row r="38" spans="1:21" x14ac:dyDescent="0.3">
      <c r="A38" s="5" t="s">
        <v>6</v>
      </c>
      <c r="B38" s="5">
        <v>2018</v>
      </c>
      <c r="C38" s="5" t="s">
        <v>7</v>
      </c>
      <c r="D38" s="9">
        <v>714.47804900000006</v>
      </c>
      <c r="E38" s="7">
        <f t="shared" si="0"/>
        <v>628168584.68622053</v>
      </c>
      <c r="F38" s="7">
        <v>1672173.9057662101</v>
      </c>
      <c r="G38" s="7"/>
      <c r="H38" s="7"/>
      <c r="I38" s="7">
        <v>1672173.9057662101</v>
      </c>
      <c r="J38" s="6">
        <v>6.6972536218088834</v>
      </c>
      <c r="K38" s="7">
        <v>2965.3062814366422</v>
      </c>
      <c r="L38" s="7">
        <v>12383347</v>
      </c>
      <c r="M38" s="6">
        <v>41.941420999999998</v>
      </c>
      <c r="N38" s="6">
        <v>44.293401799999998</v>
      </c>
      <c r="O38" s="6">
        <v>68.712807799999993</v>
      </c>
      <c r="P38" s="6">
        <v>47.735298899999997</v>
      </c>
      <c r="Q38" s="6">
        <v>49.530621099999998</v>
      </c>
      <c r="R38" s="6">
        <v>60.797823700000002</v>
      </c>
      <c r="S38" s="5">
        <v>0</v>
      </c>
      <c r="T38" s="5">
        <v>0</v>
      </c>
      <c r="U38" s="5">
        <v>0</v>
      </c>
    </row>
    <row r="39" spans="1:21" x14ac:dyDescent="0.3">
      <c r="A39" s="2" t="s">
        <v>6</v>
      </c>
      <c r="B39" s="2">
        <v>2019</v>
      </c>
      <c r="C39" s="2" t="s">
        <v>7</v>
      </c>
      <c r="D39" s="8">
        <v>784.37978299999997</v>
      </c>
      <c r="E39" s="4">
        <f t="shared" si="0"/>
        <v>689626138.73613179</v>
      </c>
      <c r="F39" s="4">
        <v>70710454.755612507</v>
      </c>
      <c r="G39" s="4">
        <v>323863426.8110528</v>
      </c>
      <c r="H39" s="4"/>
      <c r="I39" s="4">
        <v>394573881.56666529</v>
      </c>
      <c r="J39" s="3">
        <v>6.8656866284833464</v>
      </c>
      <c r="K39" s="4">
        <v>3148.9796959783848</v>
      </c>
      <c r="L39" s="4">
        <v>12726755</v>
      </c>
      <c r="M39" s="3">
        <v>42.998950099999988</v>
      </c>
      <c r="N39" s="3">
        <v>45.247222399999998</v>
      </c>
      <c r="O39" s="3">
        <v>62.512632699999997</v>
      </c>
      <c r="P39" s="3">
        <v>47.138885299999998</v>
      </c>
      <c r="Q39" s="3">
        <v>50.160565499999997</v>
      </c>
      <c r="R39" s="3">
        <v>56.4883521</v>
      </c>
      <c r="S39" s="2">
        <v>0</v>
      </c>
      <c r="T39" s="2">
        <v>0</v>
      </c>
      <c r="U39" s="2">
        <v>0</v>
      </c>
    </row>
    <row r="40" spans="1:21" x14ac:dyDescent="0.3">
      <c r="A40" s="5" t="s">
        <v>6</v>
      </c>
      <c r="B40" s="5">
        <v>2020</v>
      </c>
      <c r="C40" s="5" t="s">
        <v>7</v>
      </c>
      <c r="D40" s="9">
        <v>1245.410355</v>
      </c>
      <c r="E40" s="7">
        <f t="shared" si="0"/>
        <v>1094963884.6831996</v>
      </c>
      <c r="F40" s="7">
        <v>1968323.534615763</v>
      </c>
      <c r="G40" s="7"/>
      <c r="H40" s="7"/>
      <c r="I40" s="7">
        <v>1968323.534615763</v>
      </c>
      <c r="J40" s="6">
        <v>3.8487924003013352</v>
      </c>
      <c r="K40" s="7">
        <v>3244.58772756805</v>
      </c>
      <c r="L40" s="7">
        <v>13070169</v>
      </c>
      <c r="M40" s="6">
        <v>47.140999600000001</v>
      </c>
      <c r="N40" s="6">
        <v>47.669573900000003</v>
      </c>
      <c r="O40" s="6">
        <v>61.057008699999997</v>
      </c>
      <c r="P40" s="6">
        <v>47.980781099999987</v>
      </c>
      <c r="Q40" s="6">
        <v>50.193026600000003</v>
      </c>
      <c r="R40" s="6">
        <v>55.668533699999998</v>
      </c>
      <c r="S40" s="5">
        <v>0</v>
      </c>
      <c r="T40" s="5">
        <v>0</v>
      </c>
      <c r="U40" s="5">
        <v>0</v>
      </c>
    </row>
    <row r="41" spans="1:21" x14ac:dyDescent="0.3">
      <c r="A41" s="2" t="s">
        <v>6</v>
      </c>
      <c r="B41" s="2">
        <v>2021</v>
      </c>
      <c r="C41" s="2" t="s">
        <v>7</v>
      </c>
      <c r="D41" s="8">
        <v>943.07210499999997</v>
      </c>
      <c r="E41" s="4">
        <f t="shared" si="0"/>
        <v>829148313.63126278</v>
      </c>
      <c r="F41" s="4">
        <v>1800000</v>
      </c>
      <c r="G41" s="4">
        <v>840000000</v>
      </c>
      <c r="H41" s="4"/>
      <c r="I41" s="4">
        <v>841800000</v>
      </c>
      <c r="J41" s="3">
        <v>7.1554516457573953</v>
      </c>
      <c r="K41" s="4">
        <v>3464.2886286745002</v>
      </c>
      <c r="L41" s="4">
        <v>13413417</v>
      </c>
      <c r="M41" s="3">
        <v>44.529825500000001</v>
      </c>
      <c r="N41" s="3">
        <v>47.414940899999998</v>
      </c>
      <c r="O41" s="3">
        <v>58.879586400000001</v>
      </c>
      <c r="P41" s="3">
        <v>48.881013799999998</v>
      </c>
      <c r="Q41" s="3">
        <v>50.334916799999988</v>
      </c>
      <c r="R41" s="3">
        <v>51.045321299999998</v>
      </c>
      <c r="S41" s="2">
        <v>0</v>
      </c>
      <c r="T41" s="2">
        <v>0</v>
      </c>
      <c r="U41" s="2">
        <v>0</v>
      </c>
    </row>
    <row r="42" spans="1:21" x14ac:dyDescent="0.3">
      <c r="A42" s="2" t="s">
        <v>8</v>
      </c>
      <c r="B42" s="2">
        <v>2002</v>
      </c>
      <c r="C42" s="2" t="s">
        <v>9</v>
      </c>
      <c r="D42" s="8">
        <v>65.820096000000007</v>
      </c>
      <c r="E42" s="4">
        <f t="shared" si="0"/>
        <v>57868980.86806187</v>
      </c>
      <c r="F42" s="4">
        <v>0</v>
      </c>
      <c r="G42" s="4"/>
      <c r="H42" s="4"/>
      <c r="I42" s="4">
        <v>0</v>
      </c>
      <c r="J42" s="3">
        <v>6.0695308764831708</v>
      </c>
      <c r="K42" s="4">
        <v>9957.7405593514941</v>
      </c>
      <c r="L42" s="4">
        <v>1744763</v>
      </c>
      <c r="M42" s="3">
        <v>63.7179298</v>
      </c>
      <c r="N42" s="3">
        <v>59.979476099999999</v>
      </c>
      <c r="O42" s="3">
        <v>80.431692699999999</v>
      </c>
      <c r="P42" s="3">
        <v>69.147883899999997</v>
      </c>
      <c r="Q42" s="3">
        <v>67.978761899999995</v>
      </c>
      <c r="R42" s="3">
        <v>66.668120000000002</v>
      </c>
      <c r="S42" s="2">
        <v>0</v>
      </c>
      <c r="T42" s="2">
        <v>0</v>
      </c>
      <c r="U42" s="2">
        <v>0</v>
      </c>
    </row>
    <row r="43" spans="1:21" x14ac:dyDescent="0.3">
      <c r="A43" s="5" t="s">
        <v>8</v>
      </c>
      <c r="B43" s="5">
        <v>2003</v>
      </c>
      <c r="C43" s="5" t="s">
        <v>9</v>
      </c>
      <c r="D43" s="9">
        <v>51.470069000000002</v>
      </c>
      <c r="E43" s="7">
        <f t="shared" si="0"/>
        <v>45252447.493221886</v>
      </c>
      <c r="F43" s="7">
        <v>76581246.758945405</v>
      </c>
      <c r="G43" s="7">
        <v>4915042.29986542</v>
      </c>
      <c r="H43" s="7"/>
      <c r="I43" s="7">
        <v>81496289.05881083</v>
      </c>
      <c r="J43" s="6">
        <v>4.6258947495929874</v>
      </c>
      <c r="K43" s="7">
        <v>10438.75803334485</v>
      </c>
      <c r="L43" s="7">
        <v>1775736</v>
      </c>
      <c r="M43" s="6">
        <v>72.94786719999999</v>
      </c>
      <c r="N43" s="6">
        <v>63.470126800000003</v>
      </c>
      <c r="O43" s="6">
        <v>84.845972799999998</v>
      </c>
      <c r="P43" s="6">
        <v>68.843798300000003</v>
      </c>
      <c r="Q43" s="6">
        <v>70.368645299999997</v>
      </c>
      <c r="R43" s="6">
        <v>71.023427099999992</v>
      </c>
      <c r="S43" s="5">
        <v>0</v>
      </c>
      <c r="T43" s="5">
        <v>0</v>
      </c>
      <c r="U43" s="5">
        <v>0</v>
      </c>
    </row>
    <row r="44" spans="1:21" x14ac:dyDescent="0.3">
      <c r="A44" s="2" t="s">
        <v>8</v>
      </c>
      <c r="B44" s="2">
        <v>2004</v>
      </c>
      <c r="C44" s="2" t="s">
        <v>9</v>
      </c>
      <c r="D44" s="8">
        <v>80.219926000000001</v>
      </c>
      <c r="E44" s="4">
        <f t="shared" si="0"/>
        <v>70529301.004534215</v>
      </c>
      <c r="F44" s="4"/>
      <c r="G44" s="4"/>
      <c r="H44" s="4"/>
      <c r="I44" s="4"/>
      <c r="J44" s="3">
        <v>2.7058217061117351</v>
      </c>
      <c r="K44" s="4">
        <v>10818.15865031668</v>
      </c>
      <c r="L44" s="4">
        <v>1807146</v>
      </c>
      <c r="M44" s="3">
        <v>66.970898300000002</v>
      </c>
      <c r="N44" s="3">
        <v>61.241492099999988</v>
      </c>
      <c r="O44" s="3">
        <v>81.384106399999993</v>
      </c>
      <c r="P44" s="3">
        <v>66.233210200000002</v>
      </c>
      <c r="Q44" s="3">
        <v>68.561258199999997</v>
      </c>
      <c r="R44" s="3">
        <v>69.125061599999995</v>
      </c>
      <c r="S44" s="2">
        <v>0</v>
      </c>
      <c r="T44" s="2">
        <v>0</v>
      </c>
      <c r="U44" s="2">
        <v>0</v>
      </c>
    </row>
    <row r="45" spans="1:21" x14ac:dyDescent="0.3">
      <c r="A45" s="5" t="s">
        <v>8</v>
      </c>
      <c r="B45" s="5">
        <v>2005</v>
      </c>
      <c r="C45" s="5" t="s">
        <v>9</v>
      </c>
      <c r="D45" s="9">
        <v>82.137039000000001</v>
      </c>
      <c r="E45" s="7">
        <f t="shared" si="0"/>
        <v>72214825.369599134</v>
      </c>
      <c r="F45" s="7">
        <v>0</v>
      </c>
      <c r="G45" s="7"/>
      <c r="H45" s="7"/>
      <c r="I45" s="7">
        <v>0</v>
      </c>
      <c r="J45" s="6">
        <v>4.5566456532318114</v>
      </c>
      <c r="K45" s="7">
        <v>11458.227096796851</v>
      </c>
      <c r="L45" s="7">
        <v>1839877</v>
      </c>
      <c r="M45" s="6">
        <v>71.550964499999992</v>
      </c>
      <c r="N45" s="6">
        <v>62.875104800000003</v>
      </c>
      <c r="O45" s="6">
        <v>85.2710297</v>
      </c>
      <c r="P45" s="6">
        <v>67.553787499999999</v>
      </c>
      <c r="Q45" s="6">
        <v>69.893253000000001</v>
      </c>
      <c r="R45" s="6">
        <v>68.935528899999994</v>
      </c>
      <c r="S45" s="5">
        <v>0</v>
      </c>
      <c r="T45" s="5">
        <v>0</v>
      </c>
      <c r="U45" s="5">
        <v>0</v>
      </c>
    </row>
    <row r="46" spans="1:21" x14ac:dyDescent="0.3">
      <c r="A46" s="2" t="s">
        <v>8</v>
      </c>
      <c r="B46" s="2">
        <v>2006</v>
      </c>
      <c r="C46" s="2" t="s">
        <v>9</v>
      </c>
      <c r="D46" s="8">
        <v>106.341009</v>
      </c>
      <c r="E46" s="4">
        <f t="shared" si="0"/>
        <v>93494938.313541725</v>
      </c>
      <c r="F46" s="4">
        <v>54710166.773689009</v>
      </c>
      <c r="G46" s="4"/>
      <c r="H46" s="4"/>
      <c r="I46" s="4">
        <v>54710166.773689009</v>
      </c>
      <c r="J46" s="3">
        <v>8.3638710928230608</v>
      </c>
      <c r="K46" s="4">
        <v>12562.96499327229</v>
      </c>
      <c r="L46" s="4">
        <v>1874516</v>
      </c>
      <c r="M46" s="3">
        <v>66.670631299999997</v>
      </c>
      <c r="N46" s="3">
        <v>58.385484499999997</v>
      </c>
      <c r="O46" s="3">
        <v>86.676100599999998</v>
      </c>
      <c r="P46" s="3">
        <v>64.776609100000002</v>
      </c>
      <c r="Q46" s="3">
        <v>68.74923179999999</v>
      </c>
      <c r="R46" s="3">
        <v>67.977003299999993</v>
      </c>
      <c r="S46" s="2">
        <v>0</v>
      </c>
      <c r="T46" s="2">
        <v>0</v>
      </c>
      <c r="U46" s="2">
        <v>0</v>
      </c>
    </row>
    <row r="47" spans="1:21" x14ac:dyDescent="0.3">
      <c r="A47" s="5" t="s">
        <v>8</v>
      </c>
      <c r="B47" s="5">
        <v>2007</v>
      </c>
      <c r="C47" s="5" t="s">
        <v>9</v>
      </c>
      <c r="D47" s="9">
        <v>137.326199</v>
      </c>
      <c r="E47" s="7">
        <f t="shared" si="0"/>
        <v>120737094.98410115</v>
      </c>
      <c r="F47" s="7">
        <v>35278831.991240643</v>
      </c>
      <c r="G47" s="7"/>
      <c r="H47" s="7"/>
      <c r="I47" s="7">
        <v>35278831.991240643</v>
      </c>
      <c r="J47" s="6">
        <v>5.7925557772711764</v>
      </c>
      <c r="K47" s="7">
        <v>13388.737913847521</v>
      </c>
      <c r="L47" s="7">
        <v>1911201</v>
      </c>
      <c r="M47" s="6">
        <v>66.596128300000004</v>
      </c>
      <c r="N47" s="6">
        <v>62.3612343</v>
      </c>
      <c r="O47" s="6">
        <v>87.827426099999997</v>
      </c>
      <c r="P47" s="6">
        <v>65.155971699999995</v>
      </c>
      <c r="Q47" s="6">
        <v>69.631602099999995</v>
      </c>
      <c r="R47" s="6">
        <v>67.349041999999997</v>
      </c>
      <c r="S47" s="5">
        <v>0</v>
      </c>
      <c r="T47" s="5">
        <v>0</v>
      </c>
      <c r="U47" s="5">
        <v>0</v>
      </c>
    </row>
    <row r="48" spans="1:21" x14ac:dyDescent="0.3">
      <c r="A48" s="2" t="s">
        <v>8</v>
      </c>
      <c r="B48" s="2">
        <v>2008</v>
      </c>
      <c r="C48" s="2" t="s">
        <v>9</v>
      </c>
      <c r="D48" s="8">
        <v>879.29901500000005</v>
      </c>
      <c r="E48" s="4">
        <f t="shared" si="0"/>
        <v>773079058.9600575</v>
      </c>
      <c r="F48" s="4">
        <v>6934302.7476732023</v>
      </c>
      <c r="G48" s="4"/>
      <c r="H48" s="4"/>
      <c r="I48" s="4">
        <v>6934302.7476732023</v>
      </c>
      <c r="J48" s="3">
        <v>3.252072957968323</v>
      </c>
      <c r="K48" s="4">
        <v>13810.355526135991</v>
      </c>
      <c r="L48" s="4">
        <v>1949970</v>
      </c>
      <c r="M48" s="3">
        <v>68.69374839999999</v>
      </c>
      <c r="N48" s="3">
        <v>61.504538599999997</v>
      </c>
      <c r="O48" s="3">
        <v>87.185581499999998</v>
      </c>
      <c r="P48" s="3">
        <v>66.829642699999994</v>
      </c>
      <c r="Q48" s="3">
        <v>70.325396599999991</v>
      </c>
      <c r="R48" s="3">
        <v>67.129147799999998</v>
      </c>
      <c r="S48" s="2">
        <v>0</v>
      </c>
      <c r="T48" s="2">
        <v>0</v>
      </c>
      <c r="U48" s="2">
        <v>0</v>
      </c>
    </row>
    <row r="49" spans="1:21" x14ac:dyDescent="0.3">
      <c r="A49" s="5" t="s">
        <v>8</v>
      </c>
      <c r="B49" s="5">
        <v>2009</v>
      </c>
      <c r="C49" s="5" t="s">
        <v>9</v>
      </c>
      <c r="D49" s="9">
        <v>376.81560400000001</v>
      </c>
      <c r="E49" s="7">
        <f t="shared" si="0"/>
        <v>331296006.90134478</v>
      </c>
      <c r="F49" s="7">
        <v>21004.81582098551</v>
      </c>
      <c r="G49" s="7">
        <v>1449512633.2919099</v>
      </c>
      <c r="H49" s="7"/>
      <c r="I49" s="7">
        <v>1449533638.1077311</v>
      </c>
      <c r="J49" s="6">
        <v>-14.144234616342329</v>
      </c>
      <c r="K49" s="7">
        <v>11686.18466396572</v>
      </c>
      <c r="L49" s="7">
        <v>1990673</v>
      </c>
      <c r="M49" s="6">
        <v>66.792835499999995</v>
      </c>
      <c r="N49" s="6">
        <v>62.284372099999999</v>
      </c>
      <c r="O49" s="6">
        <v>87.236775100000003</v>
      </c>
      <c r="P49" s="6">
        <v>67.235406699999999</v>
      </c>
      <c r="Q49" s="6">
        <v>69.290733799999998</v>
      </c>
      <c r="R49" s="6">
        <v>67.02390179999999</v>
      </c>
      <c r="S49" s="5">
        <v>0</v>
      </c>
      <c r="T49" s="5">
        <v>0</v>
      </c>
      <c r="U49" s="5">
        <v>0</v>
      </c>
    </row>
    <row r="50" spans="1:21" x14ac:dyDescent="0.3">
      <c r="A50" s="2" t="s">
        <v>8</v>
      </c>
      <c r="B50" s="2">
        <v>2010</v>
      </c>
      <c r="C50" s="2" t="s">
        <v>9</v>
      </c>
      <c r="D50" s="8">
        <v>192.72337099999999</v>
      </c>
      <c r="E50" s="4">
        <f t="shared" si="0"/>
        <v>169442248.59877729</v>
      </c>
      <c r="F50" s="4">
        <v>0</v>
      </c>
      <c r="G50" s="4"/>
      <c r="H50" s="4"/>
      <c r="I50" s="4">
        <v>0</v>
      </c>
      <c r="J50" s="3">
        <v>10.119723322694011</v>
      </c>
      <c r="K50" s="4">
        <v>12753.306634011749</v>
      </c>
      <c r="L50" s="4">
        <v>2033111</v>
      </c>
      <c r="M50" s="3">
        <v>68.338292899999999</v>
      </c>
      <c r="N50" s="3">
        <v>61.669645600000003</v>
      </c>
      <c r="O50" s="3">
        <v>87.710885199999993</v>
      </c>
      <c r="P50" s="3">
        <v>67.489528399999998</v>
      </c>
      <c r="Q50" s="3">
        <v>69.600149599999995</v>
      </c>
      <c r="R50" s="3">
        <v>66.550427999999997</v>
      </c>
      <c r="S50" s="2">
        <v>0</v>
      </c>
      <c r="T50" s="2">
        <v>0</v>
      </c>
      <c r="U50" s="2">
        <v>0</v>
      </c>
    </row>
    <row r="51" spans="1:21" x14ac:dyDescent="0.3">
      <c r="A51" s="5" t="s">
        <v>8</v>
      </c>
      <c r="B51" s="5">
        <v>2011</v>
      </c>
      <c r="C51" s="5" t="s">
        <v>9</v>
      </c>
      <c r="D51" s="9">
        <v>164.99367000000001</v>
      </c>
      <c r="E51" s="7">
        <f t="shared" si="0"/>
        <v>145062315.50591043</v>
      </c>
      <c r="F51" s="7">
        <v>3769276.7368106502</v>
      </c>
      <c r="G51" s="7"/>
      <c r="H51" s="7"/>
      <c r="I51" s="7">
        <v>3769276.7368106502</v>
      </c>
      <c r="J51" s="6">
        <v>6.838410524935739</v>
      </c>
      <c r="K51" s="7">
        <v>13635.426766614581</v>
      </c>
      <c r="L51" s="7">
        <v>2073535</v>
      </c>
      <c r="M51" s="6">
        <v>68.20095409999999</v>
      </c>
      <c r="N51" s="6">
        <v>61.901762400000003</v>
      </c>
      <c r="O51" s="6">
        <v>86.930156999999994</v>
      </c>
      <c r="P51" s="6">
        <v>67.321870399999995</v>
      </c>
      <c r="Q51" s="6">
        <v>69.815309200000002</v>
      </c>
      <c r="R51" s="6">
        <v>65.632383899999994</v>
      </c>
      <c r="S51" s="5">
        <v>0</v>
      </c>
      <c r="T51" s="5">
        <v>0</v>
      </c>
      <c r="U51" s="5">
        <v>0</v>
      </c>
    </row>
    <row r="52" spans="1:21" x14ac:dyDescent="0.3">
      <c r="A52" s="2" t="s">
        <v>8</v>
      </c>
      <c r="B52" s="2">
        <v>2012</v>
      </c>
      <c r="C52" s="2" t="s">
        <v>9</v>
      </c>
      <c r="D52" s="8">
        <v>120.34624100000001</v>
      </c>
      <c r="E52" s="4">
        <f t="shared" si="0"/>
        <v>105808328.17339194</v>
      </c>
      <c r="F52" s="4">
        <v>0</v>
      </c>
      <c r="G52" s="4"/>
      <c r="H52" s="4"/>
      <c r="I52" s="4">
        <v>0</v>
      </c>
      <c r="J52" s="3">
        <v>-0.17085709933569149</v>
      </c>
      <c r="K52" s="4">
        <v>12736.58338910044</v>
      </c>
      <c r="L52" s="4">
        <v>2108617</v>
      </c>
      <c r="M52" s="3">
        <v>68.820567699999998</v>
      </c>
      <c r="N52" s="3">
        <v>62.083470699999999</v>
      </c>
      <c r="O52" s="3">
        <v>86.8170255</v>
      </c>
      <c r="P52" s="3">
        <v>68.675646499999999</v>
      </c>
      <c r="Q52" s="3">
        <v>69.072379900000001</v>
      </c>
      <c r="R52" s="3">
        <v>66.288809499999999</v>
      </c>
      <c r="S52" s="2">
        <v>0</v>
      </c>
      <c r="T52" s="2">
        <v>0</v>
      </c>
      <c r="U52" s="2">
        <v>0</v>
      </c>
    </row>
    <row r="53" spans="1:21" x14ac:dyDescent="0.3">
      <c r="A53" s="5" t="s">
        <v>8</v>
      </c>
      <c r="B53" s="5">
        <v>2013</v>
      </c>
      <c r="C53" s="5" t="s">
        <v>9</v>
      </c>
      <c r="D53" s="9">
        <v>149.32287299999999</v>
      </c>
      <c r="E53" s="7">
        <f t="shared" si="0"/>
        <v>131284562.10092781</v>
      </c>
      <c r="F53" s="7">
        <v>15240798.78986772</v>
      </c>
      <c r="G53" s="7"/>
      <c r="H53" s="7"/>
      <c r="I53" s="7">
        <v>15240798.78986772</v>
      </c>
      <c r="J53" s="6">
        <v>11.102906873782191</v>
      </c>
      <c r="K53" s="7">
        <v>13621.14947266954</v>
      </c>
      <c r="L53" s="7">
        <v>2140682</v>
      </c>
      <c r="M53" s="6">
        <v>67.704477799999992</v>
      </c>
      <c r="N53" s="6">
        <v>61.9897019</v>
      </c>
      <c r="O53" s="6">
        <v>86.175428699999998</v>
      </c>
      <c r="P53" s="6">
        <v>67.169390699999994</v>
      </c>
      <c r="Q53" s="6">
        <v>67.187859500000002</v>
      </c>
      <c r="R53" s="6">
        <v>64.314043900000001</v>
      </c>
      <c r="S53" s="5">
        <v>0</v>
      </c>
      <c r="T53" s="5">
        <v>0</v>
      </c>
      <c r="U53" s="5">
        <v>0</v>
      </c>
    </row>
    <row r="54" spans="1:21" x14ac:dyDescent="0.3">
      <c r="A54" s="2" t="s">
        <v>8</v>
      </c>
      <c r="B54" s="2">
        <v>2014</v>
      </c>
      <c r="C54" s="2" t="s">
        <v>9</v>
      </c>
      <c r="D54" s="8">
        <v>134.338786</v>
      </c>
      <c r="E54" s="4">
        <f t="shared" si="0"/>
        <v>118110563.63200468</v>
      </c>
      <c r="F54" s="4">
        <v>21593.295287121</v>
      </c>
      <c r="G54" s="4"/>
      <c r="H54" s="4"/>
      <c r="I54" s="4">
        <v>21593.295287121</v>
      </c>
      <c r="J54" s="3">
        <v>5.6971442207288447</v>
      </c>
      <c r="K54" s="4">
        <v>15003.31975183493</v>
      </c>
      <c r="L54" s="4">
        <v>2172044</v>
      </c>
      <c r="M54" s="3">
        <v>64.484588099999996</v>
      </c>
      <c r="N54" s="3">
        <v>61.414166700000003</v>
      </c>
      <c r="O54" s="3">
        <v>85.546735200000001</v>
      </c>
      <c r="P54" s="3">
        <v>66.271102599999992</v>
      </c>
      <c r="Q54" s="3">
        <v>66.866761199999999</v>
      </c>
      <c r="R54" s="3">
        <v>62.910305800000003</v>
      </c>
      <c r="S54" s="2">
        <v>0</v>
      </c>
      <c r="T54" s="2">
        <v>0</v>
      </c>
      <c r="U54" s="2">
        <v>0</v>
      </c>
    </row>
    <row r="55" spans="1:21" x14ac:dyDescent="0.3">
      <c r="A55" s="5" t="s">
        <v>8</v>
      </c>
      <c r="B55" s="5">
        <v>2015</v>
      </c>
      <c r="C55" s="5" t="s">
        <v>9</v>
      </c>
      <c r="D55" s="9">
        <v>100.09057799999999</v>
      </c>
      <c r="E55" s="7">
        <f t="shared" si="0"/>
        <v>87999563.892390147</v>
      </c>
      <c r="F55" s="7">
        <v>16529965.60176849</v>
      </c>
      <c r="G55" s="7">
        <v>0</v>
      </c>
      <c r="H55" s="7"/>
      <c r="I55" s="7">
        <v>16529965.60176849</v>
      </c>
      <c r="J55" s="6">
        <v>-4.8513250740977867</v>
      </c>
      <c r="K55" s="7">
        <v>14143.694073372761</v>
      </c>
      <c r="L55" s="7">
        <v>2203273</v>
      </c>
      <c r="M55" s="6">
        <v>63.961775600000003</v>
      </c>
      <c r="N55" s="6">
        <v>62.412558799999999</v>
      </c>
      <c r="O55" s="6">
        <v>85.22871339999999</v>
      </c>
      <c r="P55" s="6">
        <v>64.434870799999999</v>
      </c>
      <c r="Q55" s="6">
        <v>64.284400099999999</v>
      </c>
      <c r="R55" s="6">
        <v>61.578845999999999</v>
      </c>
      <c r="S55" s="5">
        <v>0</v>
      </c>
      <c r="T55" s="5">
        <v>0</v>
      </c>
      <c r="U55" s="5">
        <v>0</v>
      </c>
    </row>
    <row r="56" spans="1:21" x14ac:dyDescent="0.3">
      <c r="A56" s="2" t="s">
        <v>8</v>
      </c>
      <c r="B56" s="2">
        <v>2016</v>
      </c>
      <c r="C56" s="2" t="s">
        <v>9</v>
      </c>
      <c r="D56" s="8">
        <v>121.68581399999999</v>
      </c>
      <c r="E56" s="4">
        <f t="shared" si="0"/>
        <v>106986079.78755507</v>
      </c>
      <c r="F56" s="4">
        <v>14215712.1369128</v>
      </c>
      <c r="G56" s="4">
        <v>0</v>
      </c>
      <c r="H56" s="4"/>
      <c r="I56" s="4">
        <v>14215712.1369128</v>
      </c>
      <c r="J56" s="3">
        <v>7.2044247591426682</v>
      </c>
      <c r="K56" s="4">
        <v>16228.1231235664</v>
      </c>
      <c r="L56" s="4">
        <v>2234776</v>
      </c>
      <c r="M56" s="3">
        <v>65.220770700000003</v>
      </c>
      <c r="N56" s="3">
        <v>61.765590099999997</v>
      </c>
      <c r="O56" s="3">
        <v>82.698678999999998</v>
      </c>
      <c r="P56" s="3">
        <v>64.766876600000003</v>
      </c>
      <c r="Q56" s="3">
        <v>63.701597499999998</v>
      </c>
      <c r="R56" s="3">
        <v>60.742167500000001</v>
      </c>
      <c r="S56" s="2">
        <v>0</v>
      </c>
      <c r="T56" s="2">
        <v>0</v>
      </c>
      <c r="U56" s="2">
        <v>0</v>
      </c>
    </row>
    <row r="57" spans="1:21" x14ac:dyDescent="0.3">
      <c r="A57" s="5" t="s">
        <v>8</v>
      </c>
      <c r="B57" s="5">
        <v>2017</v>
      </c>
      <c r="C57" s="5" t="s">
        <v>9</v>
      </c>
      <c r="D57" s="9">
        <v>131.59016</v>
      </c>
      <c r="E57" s="7">
        <f t="shared" si="0"/>
        <v>115693973.63785672</v>
      </c>
      <c r="F57" s="7">
        <v>1170178.5215030599</v>
      </c>
      <c r="G57" s="7"/>
      <c r="H57" s="7"/>
      <c r="I57" s="7">
        <v>1170178.5215030599</v>
      </c>
      <c r="J57" s="6">
        <v>4.1143785644508313</v>
      </c>
      <c r="K57" s="7">
        <v>15700.66504796411</v>
      </c>
      <c r="L57" s="7">
        <v>2266747</v>
      </c>
      <c r="M57" s="6">
        <v>63.624618400000003</v>
      </c>
      <c r="N57" s="6">
        <v>59.4217418</v>
      </c>
      <c r="O57" s="6">
        <v>83.259901799999994</v>
      </c>
      <c r="P57" s="6">
        <v>63.358797799999998</v>
      </c>
      <c r="Q57" s="6">
        <v>63.913375199999997</v>
      </c>
      <c r="R57" s="6">
        <v>60.559737299999988</v>
      </c>
      <c r="S57" s="5">
        <v>0</v>
      </c>
      <c r="T57" s="5">
        <v>0</v>
      </c>
      <c r="U57" s="5">
        <v>0</v>
      </c>
    </row>
    <row r="58" spans="1:21" x14ac:dyDescent="0.3">
      <c r="A58" s="2" t="s">
        <v>8</v>
      </c>
      <c r="B58" s="2">
        <v>2018</v>
      </c>
      <c r="C58" s="2" t="s">
        <v>9</v>
      </c>
      <c r="D58" s="8">
        <v>108.493887</v>
      </c>
      <c r="E58" s="4">
        <f t="shared" si="0"/>
        <v>95387747.096337646</v>
      </c>
      <c r="F58" s="4">
        <v>390499.44551075529</v>
      </c>
      <c r="G58" s="4"/>
      <c r="H58" s="4"/>
      <c r="I58" s="4">
        <v>390499.44551075529</v>
      </c>
      <c r="J58" s="3">
        <v>4.1886923715922251</v>
      </c>
      <c r="K58" s="4">
        <v>15785.81963378099</v>
      </c>
      <c r="L58" s="4">
        <v>2299141</v>
      </c>
      <c r="M58" s="3">
        <v>65.085211099999995</v>
      </c>
      <c r="N58" s="3">
        <v>58.083229099999997</v>
      </c>
      <c r="O58" s="3">
        <v>82.887440900000001</v>
      </c>
      <c r="P58" s="3">
        <v>63.645317199999987</v>
      </c>
      <c r="Q58" s="3">
        <v>63.903692499999998</v>
      </c>
      <c r="R58" s="3">
        <v>60.543788999999997</v>
      </c>
      <c r="S58" s="2">
        <v>0</v>
      </c>
      <c r="T58" s="2">
        <v>0</v>
      </c>
      <c r="U58" s="2">
        <v>0</v>
      </c>
    </row>
    <row r="59" spans="1:21" x14ac:dyDescent="0.3">
      <c r="A59" s="5" t="s">
        <v>8</v>
      </c>
      <c r="B59" s="5">
        <v>2019</v>
      </c>
      <c r="C59" s="5" t="s">
        <v>9</v>
      </c>
      <c r="D59" s="9">
        <v>98.955932000000004</v>
      </c>
      <c r="E59" s="7">
        <f t="shared" si="0"/>
        <v>87001983.948629156</v>
      </c>
      <c r="F59" s="7">
        <v>0</v>
      </c>
      <c r="G59" s="7"/>
      <c r="H59" s="7"/>
      <c r="I59" s="7">
        <v>0</v>
      </c>
      <c r="J59" s="6">
        <v>3.031773394546704</v>
      </c>
      <c r="K59" s="7">
        <v>15960.01561439028</v>
      </c>
      <c r="L59" s="7">
        <v>2332083</v>
      </c>
      <c r="M59" s="6">
        <v>64.499752999999998</v>
      </c>
      <c r="N59" s="6">
        <v>59.183019799999997</v>
      </c>
      <c r="O59" s="6">
        <v>85.605027899999996</v>
      </c>
      <c r="P59" s="6">
        <v>61.639591499999987</v>
      </c>
      <c r="Q59" s="6">
        <v>64.742481900000001</v>
      </c>
      <c r="R59" s="6">
        <v>60.978701399999999</v>
      </c>
      <c r="S59" s="5">
        <v>0</v>
      </c>
      <c r="T59" s="5">
        <v>0</v>
      </c>
      <c r="U59" s="5">
        <v>0</v>
      </c>
    </row>
    <row r="60" spans="1:21" x14ac:dyDescent="0.3">
      <c r="A60" s="2" t="s">
        <v>8</v>
      </c>
      <c r="B60" s="2">
        <v>2020</v>
      </c>
      <c r="C60" s="2" t="s">
        <v>9</v>
      </c>
      <c r="D60" s="8">
        <v>106.38133000000001</v>
      </c>
      <c r="E60" s="4">
        <f t="shared" si="0"/>
        <v>93530388.507621974</v>
      </c>
      <c r="F60" s="4">
        <v>985409.67229378957</v>
      </c>
      <c r="G60" s="4"/>
      <c r="H60" s="4"/>
      <c r="I60" s="4">
        <v>985409.67229378957</v>
      </c>
      <c r="J60" s="3">
        <v>-8.728882439963968</v>
      </c>
      <c r="K60" s="4">
        <v>15292.262467325199</v>
      </c>
      <c r="L60" s="4">
        <v>2365894</v>
      </c>
      <c r="M60" s="3">
        <v>62.465954500000002</v>
      </c>
      <c r="N60" s="3">
        <v>57.375455100000003</v>
      </c>
      <c r="O60" s="3">
        <v>84.402618199999992</v>
      </c>
      <c r="P60" s="3">
        <v>61.000560399999998</v>
      </c>
      <c r="Q60" s="3">
        <v>62.727026000000002</v>
      </c>
      <c r="R60" s="3">
        <v>60.809245799999999</v>
      </c>
      <c r="S60" s="2">
        <v>0</v>
      </c>
      <c r="T60" s="2">
        <v>0</v>
      </c>
      <c r="U60" s="2">
        <v>0</v>
      </c>
    </row>
    <row r="61" spans="1:21" x14ac:dyDescent="0.3">
      <c r="A61" s="5" t="s">
        <v>8</v>
      </c>
      <c r="B61" s="5">
        <v>2021</v>
      </c>
      <c r="C61" s="5" t="s">
        <v>9</v>
      </c>
      <c r="D61" s="9">
        <v>120.09908299999999</v>
      </c>
      <c r="E61" s="7">
        <f t="shared" si="0"/>
        <v>105591027.03828892</v>
      </c>
      <c r="F61" s="7">
        <v>3672148.6642599278</v>
      </c>
      <c r="G61" s="7"/>
      <c r="H61" s="7"/>
      <c r="I61" s="7">
        <v>3672148.6642599278</v>
      </c>
      <c r="J61" s="6">
        <v>11.916272437600769</v>
      </c>
      <c r="K61" s="7">
        <v>17960.625444743731</v>
      </c>
      <c r="L61" s="7">
        <v>2401441</v>
      </c>
      <c r="M61" s="6">
        <v>62.062309999999997</v>
      </c>
      <c r="N61" s="6">
        <v>59.167923500000001</v>
      </c>
      <c r="O61" s="6">
        <v>83.95337889999999</v>
      </c>
      <c r="P61" s="6">
        <v>62.117566500000002</v>
      </c>
      <c r="Q61" s="6">
        <v>63.366976700000002</v>
      </c>
      <c r="R61" s="6">
        <v>59.759276699999987</v>
      </c>
      <c r="S61" s="5">
        <v>0</v>
      </c>
      <c r="T61" s="5">
        <v>0</v>
      </c>
      <c r="U61" s="5">
        <v>0</v>
      </c>
    </row>
    <row r="62" spans="1:21" x14ac:dyDescent="0.3">
      <c r="A62" s="5" t="s">
        <v>10</v>
      </c>
      <c r="B62" s="5">
        <v>2002</v>
      </c>
      <c r="C62" s="5" t="s">
        <v>11</v>
      </c>
      <c r="D62" s="9">
        <v>676.65625</v>
      </c>
      <c r="E62" s="7">
        <f t="shared" si="0"/>
        <v>594915686.3202461</v>
      </c>
      <c r="F62" s="7"/>
      <c r="G62" s="7"/>
      <c r="H62" s="7"/>
      <c r="I62" s="7"/>
      <c r="J62" s="6">
        <v>4.3529638298809914</v>
      </c>
      <c r="K62" s="7">
        <v>973.98393338321762</v>
      </c>
      <c r="L62" s="7">
        <v>12680897</v>
      </c>
      <c r="M62" s="6">
        <v>47.366366900000003</v>
      </c>
      <c r="N62" s="6">
        <v>30.289791300000001</v>
      </c>
      <c r="O62" s="6">
        <v>62.249082399999999</v>
      </c>
      <c r="P62" s="6">
        <v>51.8327156</v>
      </c>
      <c r="Q62" s="6">
        <v>43.155492600000002</v>
      </c>
      <c r="R62" s="6">
        <v>48.885741699999997</v>
      </c>
      <c r="S62" s="5">
        <v>0</v>
      </c>
      <c r="T62" s="5">
        <v>0</v>
      </c>
      <c r="U62" s="5">
        <v>0</v>
      </c>
    </row>
    <row r="63" spans="1:21" x14ac:dyDescent="0.3">
      <c r="A63" s="2" t="s">
        <v>10</v>
      </c>
      <c r="B63" s="2">
        <v>2003</v>
      </c>
      <c r="C63" s="2" t="s">
        <v>11</v>
      </c>
      <c r="D63" s="8">
        <v>755.96176800000001</v>
      </c>
      <c r="E63" s="4">
        <f t="shared" si="0"/>
        <v>664641040.47156394</v>
      </c>
      <c r="F63" s="4"/>
      <c r="G63" s="4"/>
      <c r="H63" s="4"/>
      <c r="I63" s="4"/>
      <c r="J63" s="3">
        <v>7.8024938887035944</v>
      </c>
      <c r="K63" s="4">
        <v>1037.8379937465249</v>
      </c>
      <c r="L63" s="4">
        <v>13082532</v>
      </c>
      <c r="M63" s="3">
        <v>47.112744499999998</v>
      </c>
      <c r="N63" s="3">
        <v>30.1597303</v>
      </c>
      <c r="O63" s="3">
        <v>66.960766800000002</v>
      </c>
      <c r="P63" s="3">
        <v>50.459001200000003</v>
      </c>
      <c r="Q63" s="3">
        <v>44.301756400000002</v>
      </c>
      <c r="R63" s="3">
        <v>48.5001356</v>
      </c>
      <c r="S63" s="2">
        <v>0</v>
      </c>
      <c r="T63" s="2">
        <v>0</v>
      </c>
      <c r="U63" s="2">
        <v>0</v>
      </c>
    </row>
    <row r="64" spans="1:21" x14ac:dyDescent="0.3">
      <c r="A64" s="5" t="s">
        <v>10</v>
      </c>
      <c r="B64" s="5">
        <v>2004</v>
      </c>
      <c r="C64" s="5" t="s">
        <v>11</v>
      </c>
      <c r="D64" s="9">
        <v>807.80010000000004</v>
      </c>
      <c r="E64" s="7">
        <f t="shared" si="0"/>
        <v>710217264.528427</v>
      </c>
      <c r="F64" s="7"/>
      <c r="G64" s="7"/>
      <c r="H64" s="7"/>
      <c r="I64" s="7"/>
      <c r="J64" s="6">
        <v>4.478452136703865</v>
      </c>
      <c r="K64" s="7">
        <v>1079.0000914275131</v>
      </c>
      <c r="L64" s="7">
        <v>13500533</v>
      </c>
      <c r="M64" s="6">
        <v>41.944516</v>
      </c>
      <c r="N64" s="6">
        <v>36.104776399999999</v>
      </c>
      <c r="O64" s="6">
        <v>63.332940699999988</v>
      </c>
      <c r="P64" s="6">
        <v>44.892121799999998</v>
      </c>
      <c r="Q64" s="6">
        <v>47.930232199999999</v>
      </c>
      <c r="R64" s="6">
        <v>49.639507399999999</v>
      </c>
      <c r="S64" s="5">
        <v>0</v>
      </c>
      <c r="T64" s="5">
        <v>0</v>
      </c>
      <c r="U64" s="5">
        <v>0</v>
      </c>
    </row>
    <row r="65" spans="1:21" x14ac:dyDescent="0.3">
      <c r="A65" s="2" t="s">
        <v>10</v>
      </c>
      <c r="B65" s="2">
        <v>2005</v>
      </c>
      <c r="C65" s="2" t="s">
        <v>11</v>
      </c>
      <c r="D65" s="8">
        <v>880.58673399999998</v>
      </c>
      <c r="E65" s="4">
        <f t="shared" si="0"/>
        <v>774211220.57486939</v>
      </c>
      <c r="F65" s="4"/>
      <c r="G65" s="4"/>
      <c r="H65" s="4"/>
      <c r="I65" s="4"/>
      <c r="J65" s="3">
        <v>8.6618732284122473</v>
      </c>
      <c r="K65" s="4">
        <v>1171.764323195875</v>
      </c>
      <c r="L65" s="4">
        <v>13932123</v>
      </c>
      <c r="M65" s="3">
        <v>41.753812400000001</v>
      </c>
      <c r="N65" s="3">
        <v>36.906927699999997</v>
      </c>
      <c r="O65" s="3">
        <v>66.623519700000003</v>
      </c>
      <c r="P65" s="3">
        <v>44.678250299999988</v>
      </c>
      <c r="Q65" s="3">
        <v>48.060419099999997</v>
      </c>
      <c r="R65" s="3">
        <v>50.619020199999987</v>
      </c>
      <c r="S65" s="2">
        <v>0</v>
      </c>
      <c r="T65" s="2">
        <v>0</v>
      </c>
      <c r="U65" s="2">
        <v>0</v>
      </c>
    </row>
    <row r="66" spans="1:21" x14ac:dyDescent="0.3">
      <c r="A66" s="5" t="s">
        <v>10</v>
      </c>
      <c r="B66" s="5">
        <v>2006</v>
      </c>
      <c r="C66" s="5" t="s">
        <v>11</v>
      </c>
      <c r="D66" s="9">
        <v>2656.9743469999999</v>
      </c>
      <c r="E66" s="7">
        <f t="shared" si="0"/>
        <v>2336009927.0209837</v>
      </c>
      <c r="F66" s="7"/>
      <c r="G66" s="7"/>
      <c r="H66" s="7"/>
      <c r="I66" s="7"/>
      <c r="J66" s="6">
        <v>6.2531646881747784</v>
      </c>
      <c r="K66" s="7">
        <v>1244.0024384431911</v>
      </c>
      <c r="L66" s="7">
        <v>14373707</v>
      </c>
      <c r="M66" s="6">
        <v>41.180001300000001</v>
      </c>
      <c r="N66" s="6">
        <v>35.120039800000001</v>
      </c>
      <c r="O66" s="6">
        <v>67.770434699999996</v>
      </c>
      <c r="P66" s="6">
        <v>46.830579299999997</v>
      </c>
      <c r="Q66" s="6">
        <v>50.052379100000003</v>
      </c>
      <c r="R66" s="6">
        <v>51.569284499999988</v>
      </c>
      <c r="S66" s="5">
        <v>0</v>
      </c>
      <c r="T66" s="5">
        <v>0</v>
      </c>
      <c r="U66" s="5">
        <v>0</v>
      </c>
    </row>
    <row r="67" spans="1:21" x14ac:dyDescent="0.3">
      <c r="A67" s="2" t="s">
        <v>10</v>
      </c>
      <c r="B67" s="2">
        <v>2007</v>
      </c>
      <c r="C67" s="2" t="s">
        <v>11</v>
      </c>
      <c r="D67" s="8">
        <v>1000.313353</v>
      </c>
      <c r="E67" s="4">
        <f t="shared" ref="E67:E130" si="1">(D67*0.879199277802054)*1000000</f>
        <v>879474777.53335118</v>
      </c>
      <c r="F67" s="4"/>
      <c r="G67" s="4"/>
      <c r="H67" s="4"/>
      <c r="I67" s="4"/>
      <c r="J67" s="3">
        <v>4.1113790176151639</v>
      </c>
      <c r="K67" s="4">
        <v>1290.499510174245</v>
      </c>
      <c r="L67" s="4">
        <v>14816307</v>
      </c>
      <c r="M67" s="3">
        <v>40.502832900000001</v>
      </c>
      <c r="N67" s="3">
        <v>37.176732999999999</v>
      </c>
      <c r="O67" s="3">
        <v>72.004029099999997</v>
      </c>
      <c r="P67" s="3">
        <v>48.330638499999999</v>
      </c>
      <c r="Q67" s="3">
        <v>50.733812800000003</v>
      </c>
      <c r="R67" s="3">
        <v>51.917226999999997</v>
      </c>
      <c r="S67" s="2">
        <v>0</v>
      </c>
      <c r="T67" s="2">
        <v>0</v>
      </c>
      <c r="U67" s="2">
        <v>0</v>
      </c>
    </row>
    <row r="68" spans="1:21" x14ac:dyDescent="0.3">
      <c r="A68" s="5" t="s">
        <v>10</v>
      </c>
      <c r="B68" s="5">
        <v>2008</v>
      </c>
      <c r="C68" s="5" t="s">
        <v>11</v>
      </c>
      <c r="D68" s="9">
        <v>1028.4332770000001</v>
      </c>
      <c r="E68" s="7">
        <f t="shared" si="1"/>
        <v>904197794.4059999</v>
      </c>
      <c r="F68" s="7"/>
      <c r="G68" s="7"/>
      <c r="H68" s="7"/>
      <c r="I68" s="7"/>
      <c r="J68" s="6">
        <v>5.7999917410538728</v>
      </c>
      <c r="K68" s="7">
        <v>1351.36041569133</v>
      </c>
      <c r="L68" s="7">
        <v>15258093</v>
      </c>
      <c r="M68" s="6">
        <v>40.989635700000001</v>
      </c>
      <c r="N68" s="6">
        <v>39.905843099999998</v>
      </c>
      <c r="O68" s="6">
        <v>68.577847800000001</v>
      </c>
      <c r="P68" s="6">
        <v>51.702778000000002</v>
      </c>
      <c r="Q68" s="6">
        <v>50.938096899999998</v>
      </c>
      <c r="R68" s="6">
        <v>52.267735399999999</v>
      </c>
      <c r="S68" s="5">
        <v>0</v>
      </c>
      <c r="T68" s="5">
        <v>0</v>
      </c>
      <c r="U68" s="5">
        <v>0</v>
      </c>
    </row>
    <row r="69" spans="1:21" x14ac:dyDescent="0.3">
      <c r="A69" s="2" t="s">
        <v>10</v>
      </c>
      <c r="B69" s="2">
        <v>2009</v>
      </c>
      <c r="C69" s="2" t="s">
        <v>11</v>
      </c>
      <c r="D69" s="8">
        <v>1176.3444629999999</v>
      </c>
      <c r="E69" s="4">
        <f t="shared" si="1"/>
        <v>1034241202.316045</v>
      </c>
      <c r="F69" s="4"/>
      <c r="G69" s="4"/>
      <c r="H69" s="4"/>
      <c r="I69" s="4"/>
      <c r="J69" s="3">
        <v>2.9619508586669241</v>
      </c>
      <c r="K69" s="4">
        <v>1359.692249073021</v>
      </c>
      <c r="L69" s="4">
        <v>15710066</v>
      </c>
      <c r="M69" s="3">
        <v>39.985200200000001</v>
      </c>
      <c r="N69" s="3">
        <v>40.630867799999997</v>
      </c>
      <c r="O69" s="3">
        <v>65.832942199999991</v>
      </c>
      <c r="P69" s="3">
        <v>52.179484899999999</v>
      </c>
      <c r="Q69" s="3">
        <v>52.672841200000001</v>
      </c>
      <c r="R69" s="3">
        <v>52.202540300000003</v>
      </c>
      <c r="S69" s="2">
        <v>0</v>
      </c>
      <c r="T69" s="2">
        <v>0</v>
      </c>
      <c r="U69" s="2">
        <v>0</v>
      </c>
    </row>
    <row r="70" spans="1:21" x14ac:dyDescent="0.3">
      <c r="A70" s="5" t="s">
        <v>10</v>
      </c>
      <c r="B70" s="5">
        <v>2010</v>
      </c>
      <c r="C70" s="5" t="s">
        <v>11</v>
      </c>
      <c r="D70" s="9">
        <v>1160.483275</v>
      </c>
      <c r="E70" s="7">
        <f t="shared" si="1"/>
        <v>1020296057.2813624</v>
      </c>
      <c r="F70" s="7"/>
      <c r="G70" s="7"/>
      <c r="H70" s="7"/>
      <c r="I70" s="7"/>
      <c r="J70" s="6">
        <v>8.4462815770762489</v>
      </c>
      <c r="K70" s="7">
        <v>1449.422163829209</v>
      </c>
      <c r="L70" s="7">
        <v>16176498</v>
      </c>
      <c r="M70" s="6">
        <v>40.128103400000001</v>
      </c>
      <c r="N70" s="6">
        <v>41.260815200000003</v>
      </c>
      <c r="O70" s="6">
        <v>60.519826599999988</v>
      </c>
      <c r="P70" s="6">
        <v>52.368589</v>
      </c>
      <c r="Q70" s="6">
        <v>53.088644899999998</v>
      </c>
      <c r="R70" s="6">
        <v>52.665677199999998</v>
      </c>
      <c r="S70" s="5">
        <v>0</v>
      </c>
      <c r="T70" s="5">
        <v>0</v>
      </c>
      <c r="U70" s="5">
        <v>0</v>
      </c>
    </row>
    <row r="71" spans="1:21" x14ac:dyDescent="0.3">
      <c r="A71" s="2" t="s">
        <v>10</v>
      </c>
      <c r="B71" s="2">
        <v>2011</v>
      </c>
      <c r="C71" s="2" t="s">
        <v>11</v>
      </c>
      <c r="D71" s="8">
        <v>1072.2214839999999</v>
      </c>
      <c r="E71" s="4">
        <f t="shared" si="1"/>
        <v>942696354.37664652</v>
      </c>
      <c r="F71" s="4"/>
      <c r="G71" s="4"/>
      <c r="H71" s="4"/>
      <c r="I71" s="4"/>
      <c r="J71" s="3">
        <v>6.6225626130669326</v>
      </c>
      <c r="K71" s="4">
        <v>1531.343382439816</v>
      </c>
      <c r="L71" s="4">
        <v>16661908</v>
      </c>
      <c r="M71" s="3">
        <v>40.817546299999997</v>
      </c>
      <c r="N71" s="3">
        <v>41.074389799999999</v>
      </c>
      <c r="O71" s="3">
        <v>54.215436599999997</v>
      </c>
      <c r="P71" s="3">
        <v>51.819741999999998</v>
      </c>
      <c r="Q71" s="3">
        <v>49.805112899999997</v>
      </c>
      <c r="R71" s="3">
        <v>52.453858599999997</v>
      </c>
      <c r="S71" s="2">
        <v>0</v>
      </c>
      <c r="T71" s="2">
        <v>0</v>
      </c>
      <c r="U71" s="2">
        <v>0</v>
      </c>
    </row>
    <row r="72" spans="1:21" x14ac:dyDescent="0.3">
      <c r="A72" s="5" t="s">
        <v>10</v>
      </c>
      <c r="B72" s="5">
        <v>2012</v>
      </c>
      <c r="C72" s="5" t="s">
        <v>11</v>
      </c>
      <c r="D72" s="9">
        <v>1303.8728840000001</v>
      </c>
      <c r="E72" s="7">
        <f t="shared" si="1"/>
        <v>1146364097.9584813</v>
      </c>
      <c r="F72" s="7"/>
      <c r="G72" s="7"/>
      <c r="H72" s="7"/>
      <c r="I72" s="7"/>
      <c r="J72" s="6">
        <v>6.4526723795314638</v>
      </c>
      <c r="K72" s="7">
        <v>1571.838844773145</v>
      </c>
      <c r="L72" s="7">
        <v>17172287</v>
      </c>
      <c r="M72" s="6">
        <v>40.260142999999999</v>
      </c>
      <c r="N72" s="6">
        <v>39.301886600000003</v>
      </c>
      <c r="O72" s="6">
        <v>54.828093799999998</v>
      </c>
      <c r="P72" s="6">
        <v>50.974795999999998</v>
      </c>
      <c r="Q72" s="6">
        <v>50.735311799999998</v>
      </c>
      <c r="R72" s="6">
        <v>51.543739700000003</v>
      </c>
      <c r="S72" s="5">
        <v>0</v>
      </c>
      <c r="T72" s="5">
        <v>0</v>
      </c>
      <c r="U72" s="5">
        <v>0</v>
      </c>
    </row>
    <row r="73" spans="1:21" x14ac:dyDescent="0.3">
      <c r="A73" s="2" t="s">
        <v>10</v>
      </c>
      <c r="B73" s="2">
        <v>2013</v>
      </c>
      <c r="C73" s="2" t="s">
        <v>11</v>
      </c>
      <c r="D73" s="8">
        <v>1196.619616</v>
      </c>
      <c r="E73" s="4">
        <f t="shared" si="1"/>
        <v>1052067102.1909711</v>
      </c>
      <c r="F73" s="4"/>
      <c r="G73" s="4"/>
      <c r="H73" s="4"/>
      <c r="I73" s="4"/>
      <c r="J73" s="3">
        <v>5.7925848450986734</v>
      </c>
      <c r="K73" s="4">
        <v>1642.892131257765</v>
      </c>
      <c r="L73" s="4">
        <v>17695409</v>
      </c>
      <c r="M73" s="3">
        <v>38.705520300000003</v>
      </c>
      <c r="N73" s="3">
        <v>39.184075300000003</v>
      </c>
      <c r="O73" s="3">
        <v>52.315301599999998</v>
      </c>
      <c r="P73" s="3">
        <v>50.691284199999998</v>
      </c>
      <c r="Q73" s="3">
        <v>48.153966199999999</v>
      </c>
      <c r="R73" s="3">
        <v>51.0122468</v>
      </c>
      <c r="S73" s="2">
        <v>0</v>
      </c>
      <c r="T73" s="2">
        <v>0</v>
      </c>
      <c r="U73" s="2">
        <v>0</v>
      </c>
    </row>
    <row r="74" spans="1:21" x14ac:dyDescent="0.3">
      <c r="A74" s="5" t="s">
        <v>10</v>
      </c>
      <c r="B74" s="5">
        <v>2014</v>
      </c>
      <c r="C74" s="5" t="s">
        <v>11</v>
      </c>
      <c r="D74" s="9">
        <v>1283.5674059999999</v>
      </c>
      <c r="E74" s="7">
        <f t="shared" si="1"/>
        <v>1128511536.3654556</v>
      </c>
      <c r="F74" s="7"/>
      <c r="G74" s="7"/>
      <c r="H74" s="7"/>
      <c r="I74" s="7"/>
      <c r="J74" s="6">
        <v>4.3268456145297591</v>
      </c>
      <c r="K74" s="7">
        <v>1661.3177379375691</v>
      </c>
      <c r="L74" s="7">
        <v>18229461</v>
      </c>
      <c r="M74" s="6">
        <v>38.847124000000001</v>
      </c>
      <c r="N74" s="6">
        <v>40.398786000000001</v>
      </c>
      <c r="O74" s="6">
        <v>53.940187100000003</v>
      </c>
      <c r="P74" s="6">
        <v>49.299724500000004</v>
      </c>
      <c r="Q74" s="6">
        <v>47.499895799999997</v>
      </c>
      <c r="R74" s="6">
        <v>49.997550500000003</v>
      </c>
      <c r="S74" s="5">
        <v>0</v>
      </c>
      <c r="T74" s="5">
        <v>0</v>
      </c>
      <c r="U74" s="5">
        <v>0</v>
      </c>
    </row>
    <row r="75" spans="1:21" x14ac:dyDescent="0.3">
      <c r="A75" s="2" t="s">
        <v>10</v>
      </c>
      <c r="B75" s="2">
        <v>2015</v>
      </c>
      <c r="C75" s="2" t="s">
        <v>11</v>
      </c>
      <c r="D75" s="8">
        <v>1279.6516549999999</v>
      </c>
      <c r="E75" s="4">
        <f t="shared" si="1"/>
        <v>1125068810.9142032</v>
      </c>
      <c r="F75" s="4"/>
      <c r="G75" s="4"/>
      <c r="H75" s="4"/>
      <c r="I75" s="4"/>
      <c r="J75" s="3">
        <v>3.9212287937935031</v>
      </c>
      <c r="K75" s="4">
        <v>1691.5793538740811</v>
      </c>
      <c r="L75" s="4">
        <v>18777487</v>
      </c>
      <c r="M75" s="3">
        <v>41.198929199999988</v>
      </c>
      <c r="N75" s="3">
        <v>38.641373199999997</v>
      </c>
      <c r="O75" s="3">
        <v>54.287182799999997</v>
      </c>
      <c r="P75" s="3">
        <v>48.2506585</v>
      </c>
      <c r="Q75" s="3">
        <v>47.9267453</v>
      </c>
      <c r="R75" s="3">
        <v>53.183066500000002</v>
      </c>
      <c r="S75" s="2">
        <v>0</v>
      </c>
      <c r="T75" s="2">
        <v>0</v>
      </c>
      <c r="U75" s="2">
        <v>0</v>
      </c>
    </row>
    <row r="76" spans="1:21" x14ac:dyDescent="0.3">
      <c r="A76" s="5" t="s">
        <v>10</v>
      </c>
      <c r="B76" s="5">
        <v>2016</v>
      </c>
      <c r="C76" s="5" t="s">
        <v>11</v>
      </c>
      <c r="D76" s="9">
        <v>1313.182272</v>
      </c>
      <c r="E76" s="7">
        <f t="shared" si="1"/>
        <v>1154548905.1648602</v>
      </c>
      <c r="F76" s="7"/>
      <c r="G76" s="7"/>
      <c r="H76" s="7"/>
      <c r="I76" s="7"/>
      <c r="J76" s="6">
        <v>5.9579767075402401</v>
      </c>
      <c r="K76" s="7">
        <v>1881.758931344066</v>
      </c>
      <c r="L76" s="7">
        <v>19334856</v>
      </c>
      <c r="M76" s="6">
        <v>43.375703799999997</v>
      </c>
      <c r="N76" s="6">
        <v>41.133628000000002</v>
      </c>
      <c r="O76" s="6">
        <v>50.394757499999997</v>
      </c>
      <c r="P76" s="6">
        <v>48.155127800000002</v>
      </c>
      <c r="Q76" s="6">
        <v>48.591286699999998</v>
      </c>
      <c r="R76" s="6">
        <v>55.064043299999987</v>
      </c>
      <c r="S76" s="5">
        <v>0</v>
      </c>
      <c r="T76" s="5">
        <v>0</v>
      </c>
      <c r="U76" s="5">
        <v>0</v>
      </c>
    </row>
    <row r="77" spans="1:21" x14ac:dyDescent="0.3">
      <c r="A77" s="2" t="s">
        <v>10</v>
      </c>
      <c r="B77" s="2">
        <v>2017</v>
      </c>
      <c r="C77" s="2" t="s">
        <v>11</v>
      </c>
      <c r="D77" s="8">
        <v>1182.2651289999999</v>
      </c>
      <c r="E77" s="4">
        <f t="shared" si="1"/>
        <v>1039446647.5873522</v>
      </c>
      <c r="F77" s="4"/>
      <c r="G77" s="4"/>
      <c r="H77" s="4"/>
      <c r="I77" s="4"/>
      <c r="J77" s="3">
        <v>6.2034894112186834</v>
      </c>
      <c r="K77" s="4">
        <v>2042.4029525991659</v>
      </c>
      <c r="L77" s="4">
        <v>19894407</v>
      </c>
      <c r="M77" s="3">
        <v>44.767355799999997</v>
      </c>
      <c r="N77" s="3">
        <v>41.405799500000001</v>
      </c>
      <c r="O77" s="3">
        <v>51.278255399999999</v>
      </c>
      <c r="P77" s="3">
        <v>48.303439099999999</v>
      </c>
      <c r="Q77" s="3">
        <v>49.395121199999998</v>
      </c>
      <c r="R77" s="3">
        <v>56.033404599999997</v>
      </c>
      <c r="S77" s="2">
        <v>0</v>
      </c>
      <c r="T77" s="2">
        <v>0</v>
      </c>
      <c r="U77" s="2">
        <v>0</v>
      </c>
    </row>
    <row r="78" spans="1:21" x14ac:dyDescent="0.3">
      <c r="A78" s="5" t="s">
        <v>10</v>
      </c>
      <c r="B78" s="5">
        <v>2018</v>
      </c>
      <c r="C78" s="5" t="s">
        <v>11</v>
      </c>
      <c r="D78" s="9">
        <v>1458.276572</v>
      </c>
      <c r="E78" s="7">
        <f t="shared" si="1"/>
        <v>1282115708.938055</v>
      </c>
      <c r="F78" s="7">
        <v>151444125.45188919</v>
      </c>
      <c r="G78" s="7"/>
      <c r="H78" s="7"/>
      <c r="I78" s="7">
        <v>151444125.45188919</v>
      </c>
      <c r="J78" s="6">
        <v>6.6045690681234106</v>
      </c>
      <c r="K78" s="7">
        <v>2073.323538215504</v>
      </c>
      <c r="L78" s="7">
        <v>20438288</v>
      </c>
      <c r="M78" s="6">
        <v>44.666051000000003</v>
      </c>
      <c r="N78" s="6">
        <v>41.9626977</v>
      </c>
      <c r="O78" s="6">
        <v>49.4637727</v>
      </c>
      <c r="P78" s="6">
        <v>48.179433199999998</v>
      </c>
      <c r="Q78" s="6">
        <v>49.973567799999998</v>
      </c>
      <c r="R78" s="6">
        <v>55.811929900000003</v>
      </c>
      <c r="S78" s="5">
        <v>1</v>
      </c>
      <c r="T78" s="5">
        <v>1</v>
      </c>
      <c r="U78" s="5">
        <v>0</v>
      </c>
    </row>
    <row r="79" spans="1:21" x14ac:dyDescent="0.3">
      <c r="A79" s="2" t="s">
        <v>10</v>
      </c>
      <c r="B79" s="2">
        <v>2019</v>
      </c>
      <c r="C79" s="2" t="s">
        <v>11</v>
      </c>
      <c r="D79" s="8">
        <v>1441.7565259999999</v>
      </c>
      <c r="E79" s="4">
        <f t="shared" si="1"/>
        <v>1267591296.4255981</v>
      </c>
      <c r="F79" s="4">
        <v>20218785.128746741</v>
      </c>
      <c r="G79" s="4">
        <v>86907722.758476406</v>
      </c>
      <c r="H79" s="4"/>
      <c r="I79" s="4">
        <v>107126507.88722309</v>
      </c>
      <c r="J79" s="3">
        <v>5.8892049706813481</v>
      </c>
      <c r="K79" s="4">
        <v>2232.1628201658518</v>
      </c>
      <c r="L79" s="4">
        <v>20961952</v>
      </c>
      <c r="M79" s="3">
        <v>43.788807200000001</v>
      </c>
      <c r="N79" s="3">
        <v>39.137236600000001</v>
      </c>
      <c r="O79" s="3">
        <v>45.469811</v>
      </c>
      <c r="P79" s="3">
        <v>47.489239499999996</v>
      </c>
      <c r="Q79" s="3">
        <v>49.9337491</v>
      </c>
      <c r="R79" s="3">
        <v>55.0385001</v>
      </c>
      <c r="S79" s="2">
        <v>1</v>
      </c>
      <c r="T79" s="2">
        <v>1</v>
      </c>
      <c r="U79" s="2">
        <v>0</v>
      </c>
    </row>
    <row r="80" spans="1:21" x14ac:dyDescent="0.3">
      <c r="A80" s="5" t="s">
        <v>10</v>
      </c>
      <c r="B80" s="5">
        <v>2020</v>
      </c>
      <c r="C80" s="5" t="s">
        <v>11</v>
      </c>
      <c r="D80" s="9">
        <v>2079.3361909999999</v>
      </c>
      <c r="E80" s="7">
        <f t="shared" si="1"/>
        <v>1828150877.4348736</v>
      </c>
      <c r="F80" s="7">
        <v>93652653.302727357</v>
      </c>
      <c r="G80" s="7">
        <v>64754265.474807203</v>
      </c>
      <c r="H80" s="7"/>
      <c r="I80" s="7">
        <v>158406918.77753451</v>
      </c>
      <c r="J80" s="6">
        <v>2.0107726240622128</v>
      </c>
      <c r="K80" s="7">
        <v>2380.7228278180219</v>
      </c>
      <c r="L80" s="7">
        <v>21478690</v>
      </c>
      <c r="M80" s="6">
        <v>43.769531200000003</v>
      </c>
      <c r="N80" s="6">
        <v>39.0734329</v>
      </c>
      <c r="O80" s="6">
        <v>41.7072486</v>
      </c>
      <c r="P80" s="6">
        <v>46.9913642</v>
      </c>
      <c r="Q80" s="6">
        <v>49.7548697</v>
      </c>
      <c r="R80" s="6">
        <v>53.081018299999997</v>
      </c>
      <c r="S80" s="5">
        <v>1</v>
      </c>
      <c r="T80" s="5">
        <v>1</v>
      </c>
      <c r="U80" s="5">
        <v>0</v>
      </c>
    </row>
    <row r="81" spans="1:21" x14ac:dyDescent="0.3">
      <c r="A81" s="2" t="s">
        <v>10</v>
      </c>
      <c r="B81" s="2">
        <v>2021</v>
      </c>
      <c r="C81" s="2" t="s">
        <v>11</v>
      </c>
      <c r="D81" s="8">
        <v>1794.865092</v>
      </c>
      <c r="E81" s="4">
        <f t="shared" si="1"/>
        <v>1578044092.6385171</v>
      </c>
      <c r="F81" s="4">
        <v>29924255.081857849</v>
      </c>
      <c r="G81" s="4"/>
      <c r="H81" s="4"/>
      <c r="I81" s="4">
        <v>29924255.081857849</v>
      </c>
      <c r="J81" s="3">
        <v>6.9425249257234753</v>
      </c>
      <c r="K81" s="4">
        <v>2486.4309314776169</v>
      </c>
      <c r="L81" s="4">
        <v>21995243</v>
      </c>
      <c r="M81" s="3">
        <v>43.7564207</v>
      </c>
      <c r="N81" s="3">
        <v>36.826530599999998</v>
      </c>
      <c r="O81" s="3">
        <v>38.902668400000003</v>
      </c>
      <c r="P81" s="3">
        <v>47.623265000000004</v>
      </c>
      <c r="Q81" s="3">
        <v>50.061762299999998</v>
      </c>
      <c r="R81" s="3">
        <v>53.826682099999999</v>
      </c>
      <c r="S81" s="2">
        <v>1</v>
      </c>
      <c r="T81" s="2">
        <v>1</v>
      </c>
      <c r="U81" s="2">
        <v>0</v>
      </c>
    </row>
    <row r="82" spans="1:21" x14ac:dyDescent="0.3">
      <c r="A82" s="2" t="s">
        <v>12</v>
      </c>
      <c r="B82" s="2">
        <v>2002</v>
      </c>
      <c r="C82" s="2" t="s">
        <v>13</v>
      </c>
      <c r="D82" s="8">
        <v>251.14868200000001</v>
      </c>
      <c r="E82" s="4">
        <f t="shared" si="1"/>
        <v>220809739.83533773</v>
      </c>
      <c r="F82" s="4">
        <v>0</v>
      </c>
      <c r="G82" s="4"/>
      <c r="H82" s="4"/>
      <c r="I82" s="4">
        <v>0</v>
      </c>
      <c r="J82" s="3">
        <v>4.4465194122479659</v>
      </c>
      <c r="K82" s="4">
        <v>544.92279001705515</v>
      </c>
      <c r="L82" s="4">
        <v>6824132</v>
      </c>
      <c r="M82" s="3">
        <v>33.672442500000002</v>
      </c>
      <c r="N82" s="3">
        <v>13.5314785</v>
      </c>
      <c r="O82" s="3">
        <v>23.913429199999999</v>
      </c>
      <c r="P82" s="3">
        <v>32.418368000000001</v>
      </c>
      <c r="Q82" s="3">
        <v>34.7895264</v>
      </c>
      <c r="R82" s="3">
        <v>40.968175700000003</v>
      </c>
      <c r="S82" s="2">
        <v>1</v>
      </c>
      <c r="T82" s="2">
        <v>2</v>
      </c>
      <c r="U82" s="2">
        <v>1</v>
      </c>
    </row>
    <row r="83" spans="1:21" x14ac:dyDescent="0.3">
      <c r="A83" s="5" t="s">
        <v>12</v>
      </c>
      <c r="B83" s="5">
        <v>2003</v>
      </c>
      <c r="C83" s="5" t="s">
        <v>13</v>
      </c>
      <c r="D83" s="9">
        <v>293.447475</v>
      </c>
      <c r="E83" s="7">
        <f t="shared" si="1"/>
        <v>257998808.09283626</v>
      </c>
      <c r="F83" s="7"/>
      <c r="G83" s="7"/>
      <c r="H83" s="7"/>
      <c r="I83" s="7"/>
      <c r="J83" s="6">
        <v>-1.223727960234442</v>
      </c>
      <c r="K83" s="7">
        <v>531.81261219455575</v>
      </c>
      <c r="L83" s="7">
        <v>7043154</v>
      </c>
      <c r="M83" s="6">
        <v>33.632775100000003</v>
      </c>
      <c r="N83" s="6">
        <v>13.3517244</v>
      </c>
      <c r="O83" s="6">
        <v>24.882535000000001</v>
      </c>
      <c r="P83" s="6">
        <v>32.2673725</v>
      </c>
      <c r="Q83" s="6">
        <v>30.199906800000001</v>
      </c>
      <c r="R83" s="6">
        <v>42.993068399999999</v>
      </c>
      <c r="S83" s="5">
        <v>1</v>
      </c>
      <c r="T83" s="5">
        <v>1</v>
      </c>
      <c r="U83" s="5">
        <v>0</v>
      </c>
    </row>
    <row r="84" spans="1:21" x14ac:dyDescent="0.3">
      <c r="A84" s="2" t="s">
        <v>12</v>
      </c>
      <c r="B84" s="2">
        <v>2004</v>
      </c>
      <c r="C84" s="2" t="s">
        <v>13</v>
      </c>
      <c r="D84" s="8">
        <v>504.57575200000002</v>
      </c>
      <c r="E84" s="4">
        <f t="shared" si="1"/>
        <v>443622636.75482833</v>
      </c>
      <c r="F84" s="4">
        <v>3106369.806512753</v>
      </c>
      <c r="G84" s="4">
        <v>18016228.284123201</v>
      </c>
      <c r="H84" s="4"/>
      <c r="I84" s="4">
        <v>21122598.090635959</v>
      </c>
      <c r="J84" s="3">
        <v>4.8336577680945254</v>
      </c>
      <c r="K84" s="4">
        <v>551.56220924360457</v>
      </c>
      <c r="L84" s="4">
        <v>7310656</v>
      </c>
      <c r="M84" s="3">
        <v>28.459206900000002</v>
      </c>
      <c r="N84" s="3">
        <v>21.625617699999999</v>
      </c>
      <c r="O84" s="3">
        <v>24.698765999999999</v>
      </c>
      <c r="P84" s="3">
        <v>35.630075900000001</v>
      </c>
      <c r="Q84" s="3">
        <v>35.255986300000004</v>
      </c>
      <c r="R84" s="3">
        <v>41.956751300000001</v>
      </c>
      <c r="S84" s="2">
        <v>1</v>
      </c>
      <c r="T84" s="2">
        <v>1</v>
      </c>
      <c r="U84" s="2">
        <v>0</v>
      </c>
    </row>
    <row r="85" spans="1:21" x14ac:dyDescent="0.3">
      <c r="A85" s="5" t="s">
        <v>12</v>
      </c>
      <c r="B85" s="5">
        <v>2005</v>
      </c>
      <c r="C85" s="5" t="s">
        <v>13</v>
      </c>
      <c r="D85" s="9">
        <v>493.98805599999997</v>
      </c>
      <c r="E85" s="7">
        <f t="shared" si="1"/>
        <v>434313942.07804054</v>
      </c>
      <c r="F85" s="7">
        <v>22787450.170948468</v>
      </c>
      <c r="G85" s="7"/>
      <c r="H85" s="7"/>
      <c r="I85" s="7">
        <v>22787450.170948468</v>
      </c>
      <c r="J85" s="6">
        <v>0.90000000090191179</v>
      </c>
      <c r="K85" s="7">
        <v>553.04797375986323</v>
      </c>
      <c r="L85" s="7">
        <v>7587299</v>
      </c>
      <c r="M85" s="6">
        <v>26.410927600000001</v>
      </c>
      <c r="N85" s="6">
        <v>24.7133553</v>
      </c>
      <c r="O85" s="6">
        <v>40.274431999999997</v>
      </c>
      <c r="P85" s="6">
        <v>35.991679900000001</v>
      </c>
      <c r="Q85" s="6">
        <v>37.037039399999998</v>
      </c>
      <c r="R85" s="6">
        <v>46.286797100000001</v>
      </c>
      <c r="S85" s="5">
        <v>1</v>
      </c>
      <c r="T85" s="5">
        <v>1</v>
      </c>
      <c r="U85" s="5">
        <v>0</v>
      </c>
    </row>
    <row r="86" spans="1:21" x14ac:dyDescent="0.3">
      <c r="A86" s="2" t="s">
        <v>12</v>
      </c>
      <c r="B86" s="2">
        <v>2006</v>
      </c>
      <c r="C86" s="2" t="s">
        <v>13</v>
      </c>
      <c r="D86" s="8">
        <v>549.10171500000001</v>
      </c>
      <c r="E86" s="4">
        <f t="shared" si="1"/>
        <v>482769831.26786929</v>
      </c>
      <c r="F86" s="4">
        <v>1015974.54262835</v>
      </c>
      <c r="G86" s="4"/>
      <c r="H86" s="4"/>
      <c r="I86" s="4">
        <v>1015974.54262835</v>
      </c>
      <c r="J86" s="3">
        <v>5.4138071449144434</v>
      </c>
      <c r="K86" s="4">
        <v>579.70780442378896</v>
      </c>
      <c r="L86" s="4">
        <v>7865547</v>
      </c>
      <c r="M86" s="3">
        <v>26.254422000000002</v>
      </c>
      <c r="N86" s="3">
        <v>25.292300999999998</v>
      </c>
      <c r="O86" s="3">
        <v>44.189801199999998</v>
      </c>
      <c r="P86" s="3">
        <v>37.426046399999997</v>
      </c>
      <c r="Q86" s="3">
        <v>39.594207399999988</v>
      </c>
      <c r="R86" s="3">
        <v>45.282857800000002</v>
      </c>
      <c r="S86" s="2">
        <v>1</v>
      </c>
      <c r="T86" s="2">
        <v>1</v>
      </c>
      <c r="U86" s="2">
        <v>0</v>
      </c>
    </row>
    <row r="87" spans="1:21" x14ac:dyDescent="0.3">
      <c r="A87" s="5" t="s">
        <v>12</v>
      </c>
      <c r="B87" s="5">
        <v>2007</v>
      </c>
      <c r="C87" s="5" t="s">
        <v>13</v>
      </c>
      <c r="D87" s="9">
        <v>549.77909599999998</v>
      </c>
      <c r="E87" s="7">
        <f t="shared" si="1"/>
        <v>483365384.15386611</v>
      </c>
      <c r="F87" s="7">
        <v>62034973.79586836</v>
      </c>
      <c r="G87" s="7"/>
      <c r="H87" s="7"/>
      <c r="I87" s="7">
        <v>62034973.79586836</v>
      </c>
      <c r="J87" s="6">
        <v>3.4444936466361469</v>
      </c>
      <c r="K87" s="7">
        <v>593.56073452972305</v>
      </c>
      <c r="L87" s="7">
        <v>8161874</v>
      </c>
      <c r="M87" s="6">
        <v>24.822007599999999</v>
      </c>
      <c r="N87" s="6">
        <v>24.9266212</v>
      </c>
      <c r="O87" s="6">
        <v>46.370393900000003</v>
      </c>
      <c r="P87" s="6">
        <v>37.523269399999997</v>
      </c>
      <c r="Q87" s="6">
        <v>38.774762799999998</v>
      </c>
      <c r="R87" s="6">
        <v>45.031488799999998</v>
      </c>
      <c r="S87" s="5">
        <v>0</v>
      </c>
      <c r="T87" s="5">
        <v>0</v>
      </c>
      <c r="U87" s="5">
        <v>0</v>
      </c>
    </row>
    <row r="88" spans="1:21" x14ac:dyDescent="0.3">
      <c r="A88" s="2" t="s">
        <v>12</v>
      </c>
      <c r="B88" s="2">
        <v>2008</v>
      </c>
      <c r="C88" s="2" t="s">
        <v>13</v>
      </c>
      <c r="D88" s="8">
        <v>573.66230900000005</v>
      </c>
      <c r="E88" s="4">
        <f t="shared" si="1"/>
        <v>504363487.77505881</v>
      </c>
      <c r="F88" s="4">
        <v>22775830.850100089</v>
      </c>
      <c r="G88" s="4"/>
      <c r="H88" s="4"/>
      <c r="I88" s="4">
        <v>22775830.850100089</v>
      </c>
      <c r="J88" s="3">
        <v>4.908741908135454</v>
      </c>
      <c r="K88" s="4">
        <v>609.04290646181869</v>
      </c>
      <c r="L88" s="4">
        <v>8505637</v>
      </c>
      <c r="M88" s="3">
        <v>24.612167599999999</v>
      </c>
      <c r="N88" s="3">
        <v>27.010501000000001</v>
      </c>
      <c r="O88" s="3">
        <v>41.208506799999988</v>
      </c>
      <c r="P88" s="3">
        <v>37.538771099999998</v>
      </c>
      <c r="Q88" s="3">
        <v>38.489330199999998</v>
      </c>
      <c r="R88" s="3">
        <v>44.456724600000001</v>
      </c>
      <c r="S88" s="2">
        <v>1</v>
      </c>
      <c r="T88" s="2">
        <v>1</v>
      </c>
      <c r="U88" s="2">
        <v>0</v>
      </c>
    </row>
    <row r="89" spans="1:21" x14ac:dyDescent="0.3">
      <c r="A89" s="5" t="s">
        <v>12</v>
      </c>
      <c r="B89" s="5">
        <v>2009</v>
      </c>
      <c r="C89" s="5" t="s">
        <v>13</v>
      </c>
      <c r="D89" s="9">
        <v>1283.8705809999999</v>
      </c>
      <c r="E89" s="7">
        <f t="shared" si="1"/>
        <v>1128778087.6065032</v>
      </c>
      <c r="F89" s="7">
        <v>740132.3250249899</v>
      </c>
      <c r="G89" s="7"/>
      <c r="H89" s="7"/>
      <c r="I89" s="7">
        <v>740132.3250249899</v>
      </c>
      <c r="J89" s="6">
        <v>3.7870758305051031</v>
      </c>
      <c r="K89" s="7">
        <v>604.58815408024941</v>
      </c>
      <c r="L89" s="7">
        <v>8947646</v>
      </c>
      <c r="M89" s="6">
        <v>23.938132599999999</v>
      </c>
      <c r="N89" s="6">
        <v>30.1262963</v>
      </c>
      <c r="O89" s="6">
        <v>47.834925899999988</v>
      </c>
      <c r="P89" s="6">
        <v>38.372872600000001</v>
      </c>
      <c r="Q89" s="6">
        <v>36.139215499999999</v>
      </c>
      <c r="R89" s="6">
        <v>45.229827</v>
      </c>
      <c r="S89" s="5">
        <v>0</v>
      </c>
      <c r="T89" s="5">
        <v>0</v>
      </c>
      <c r="U89" s="5">
        <v>0</v>
      </c>
    </row>
    <row r="90" spans="1:21" x14ac:dyDescent="0.3">
      <c r="A90" s="2" t="s">
        <v>12</v>
      </c>
      <c r="B90" s="2">
        <v>2010</v>
      </c>
      <c r="C90" s="2" t="s">
        <v>13</v>
      </c>
      <c r="D90" s="8">
        <v>692.47871699999996</v>
      </c>
      <c r="E90" s="4">
        <f t="shared" si="1"/>
        <v>608826787.87969291</v>
      </c>
      <c r="F90" s="4">
        <v>10179738.387976149</v>
      </c>
      <c r="G90" s="4"/>
      <c r="H90" s="4"/>
      <c r="I90" s="4">
        <v>10179738.387976149</v>
      </c>
      <c r="J90" s="3">
        <v>5.0937369732305484</v>
      </c>
      <c r="K90" s="4">
        <v>613.69588004988918</v>
      </c>
      <c r="L90" s="4">
        <v>9376444</v>
      </c>
      <c r="M90" s="3">
        <v>22.737489799999999</v>
      </c>
      <c r="N90" s="3">
        <v>27.995595300000002</v>
      </c>
      <c r="O90" s="3">
        <v>37.069471100000001</v>
      </c>
      <c r="P90" s="3">
        <v>38.698232300000001</v>
      </c>
      <c r="Q90" s="3">
        <v>35.2912958</v>
      </c>
      <c r="R90" s="3">
        <v>39.7974903</v>
      </c>
      <c r="S90" s="2">
        <v>0</v>
      </c>
      <c r="T90" s="2">
        <v>0</v>
      </c>
      <c r="U90" s="2">
        <v>0</v>
      </c>
    </row>
    <row r="91" spans="1:21" x14ac:dyDescent="0.3">
      <c r="A91" s="5" t="s">
        <v>12</v>
      </c>
      <c r="B91" s="5">
        <v>2011</v>
      </c>
      <c r="C91" s="5" t="s">
        <v>13</v>
      </c>
      <c r="D91" s="9">
        <v>602.90371500000003</v>
      </c>
      <c r="E91" s="7">
        <f t="shared" si="1"/>
        <v>530072510.81217545</v>
      </c>
      <c r="F91" s="7">
        <v>39658419.199234277</v>
      </c>
      <c r="G91" s="7">
        <v>0</v>
      </c>
      <c r="H91" s="7"/>
      <c r="I91" s="7">
        <v>39658419.199234277</v>
      </c>
      <c r="J91" s="6">
        <v>4.0244279386422761</v>
      </c>
      <c r="K91" s="7">
        <v>628.6654482961784</v>
      </c>
      <c r="L91" s="7">
        <v>9717978</v>
      </c>
      <c r="M91" s="6">
        <v>22.4524081</v>
      </c>
      <c r="N91" s="6">
        <v>28.763280200000001</v>
      </c>
      <c r="O91" s="6">
        <v>34.4098574</v>
      </c>
      <c r="P91" s="6">
        <v>39.493419400000001</v>
      </c>
      <c r="Q91" s="6">
        <v>35.287936299999998</v>
      </c>
      <c r="R91" s="6">
        <v>39.795678700000003</v>
      </c>
      <c r="S91" s="5">
        <v>0</v>
      </c>
      <c r="T91" s="5">
        <v>0</v>
      </c>
      <c r="U91" s="5">
        <v>0</v>
      </c>
    </row>
    <row r="92" spans="1:21" x14ac:dyDescent="0.3">
      <c r="A92" s="2" t="s">
        <v>12</v>
      </c>
      <c r="B92" s="2">
        <v>2012</v>
      </c>
      <c r="C92" s="2" t="s">
        <v>13</v>
      </c>
      <c r="D92" s="8">
        <v>571.70640000000003</v>
      </c>
      <c r="E92" s="4">
        <f t="shared" si="1"/>
        <v>502643853.99481219</v>
      </c>
      <c r="F92" s="4">
        <v>12611399.20195177</v>
      </c>
      <c r="G92" s="4"/>
      <c r="H92" s="4"/>
      <c r="I92" s="4">
        <v>12611399.20195177</v>
      </c>
      <c r="J92" s="3">
        <v>4.4230311849012622</v>
      </c>
      <c r="K92" s="4">
        <v>637.24708019110085</v>
      </c>
      <c r="L92" s="4">
        <v>10071028</v>
      </c>
      <c r="M92" s="3">
        <v>19.557170299999999</v>
      </c>
      <c r="N92" s="3">
        <v>28.261927799999999</v>
      </c>
      <c r="O92" s="3">
        <v>33.304233699999997</v>
      </c>
      <c r="P92" s="3">
        <v>40.265219100000003</v>
      </c>
      <c r="Q92" s="3">
        <v>37.0746775</v>
      </c>
      <c r="R92" s="3">
        <v>38.216822999999998</v>
      </c>
      <c r="S92" s="2">
        <v>0</v>
      </c>
      <c r="T92" s="2">
        <v>0</v>
      </c>
      <c r="U92" s="2">
        <v>0</v>
      </c>
    </row>
    <row r="93" spans="1:21" x14ac:dyDescent="0.3">
      <c r="A93" s="5" t="s">
        <v>12</v>
      </c>
      <c r="B93" s="5">
        <v>2013</v>
      </c>
      <c r="C93" s="5" t="s">
        <v>13</v>
      </c>
      <c r="D93" s="9">
        <v>602.80333299999995</v>
      </c>
      <c r="E93" s="7">
        <f t="shared" si="1"/>
        <v>529984255.03027099</v>
      </c>
      <c r="F93" s="7">
        <v>17631826.577492341</v>
      </c>
      <c r="G93" s="7"/>
      <c r="H93" s="7"/>
      <c r="I93" s="7">
        <v>17631826.577492341</v>
      </c>
      <c r="J93" s="6">
        <v>4.9239248511745606</v>
      </c>
      <c r="K93" s="7">
        <v>687.37096831171516</v>
      </c>
      <c r="L93" s="7">
        <v>10439341</v>
      </c>
      <c r="M93" s="6">
        <v>20.593435599999999</v>
      </c>
      <c r="N93" s="6">
        <v>33.893470200000003</v>
      </c>
      <c r="O93" s="6">
        <v>37.270492500000003</v>
      </c>
      <c r="P93" s="6">
        <v>39.482644399999998</v>
      </c>
      <c r="Q93" s="6">
        <v>36.834970200000001</v>
      </c>
      <c r="R93" s="6">
        <v>37.531092999999998</v>
      </c>
      <c r="S93" s="5">
        <v>0</v>
      </c>
      <c r="T93" s="5">
        <v>0</v>
      </c>
      <c r="U93" s="5">
        <v>0</v>
      </c>
    </row>
    <row r="94" spans="1:21" x14ac:dyDescent="0.3">
      <c r="A94" s="2" t="s">
        <v>12</v>
      </c>
      <c r="B94" s="2">
        <v>2014</v>
      </c>
      <c r="C94" s="2" t="s">
        <v>13</v>
      </c>
      <c r="D94" s="8">
        <v>565.41478800000004</v>
      </c>
      <c r="E94" s="4">
        <f t="shared" si="1"/>
        <v>497112273.26820147</v>
      </c>
      <c r="F94" s="4">
        <v>1009105.891430918</v>
      </c>
      <c r="G94" s="4"/>
      <c r="H94" s="4"/>
      <c r="I94" s="4">
        <v>1009105.891430918</v>
      </c>
      <c r="J94" s="3">
        <v>4.2449080308724803</v>
      </c>
      <c r="K94" s="4">
        <v>724.37195418327349</v>
      </c>
      <c r="L94" s="4">
        <v>10799785</v>
      </c>
      <c r="M94" s="3">
        <v>22.217432200000001</v>
      </c>
      <c r="N94" s="3">
        <v>34.311248300000003</v>
      </c>
      <c r="O94" s="3">
        <v>47.758123699999999</v>
      </c>
      <c r="P94" s="3">
        <v>41.305498900000003</v>
      </c>
      <c r="Q94" s="3">
        <v>37.970308699999997</v>
      </c>
      <c r="R94" s="3">
        <v>38.238534799999996</v>
      </c>
      <c r="S94" s="2">
        <v>1</v>
      </c>
      <c r="T94" s="2">
        <v>1</v>
      </c>
      <c r="U94" s="2">
        <v>0</v>
      </c>
    </row>
    <row r="95" spans="1:21" x14ac:dyDescent="0.3">
      <c r="A95" s="5" t="s">
        <v>12</v>
      </c>
      <c r="B95" s="5">
        <v>2015</v>
      </c>
      <c r="C95" s="5" t="s">
        <v>13</v>
      </c>
      <c r="D95" s="9">
        <v>484.48667899999998</v>
      </c>
      <c r="E95" s="7">
        <f t="shared" si="1"/>
        <v>425960338.28151554</v>
      </c>
      <c r="F95" s="7">
        <v>1064181.4907871501</v>
      </c>
      <c r="G95" s="7"/>
      <c r="H95" s="7"/>
      <c r="I95" s="7">
        <v>1064181.4907871501</v>
      </c>
      <c r="J95" s="6">
        <v>-0.40452559520419129</v>
      </c>
      <c r="K95" s="7">
        <v>722.03289837993327</v>
      </c>
      <c r="L95" s="7">
        <v>11047580</v>
      </c>
      <c r="M95" s="6">
        <v>22.377668199999999</v>
      </c>
      <c r="N95" s="6">
        <v>33.341087000000002</v>
      </c>
      <c r="O95" s="6">
        <v>31.108552799999998</v>
      </c>
      <c r="P95" s="6">
        <v>41.024789699999999</v>
      </c>
      <c r="Q95" s="6">
        <v>34.234553499999997</v>
      </c>
      <c r="R95" s="6">
        <v>34.695301200000003</v>
      </c>
      <c r="S95" s="5">
        <v>1</v>
      </c>
      <c r="T95" s="5">
        <v>1</v>
      </c>
      <c r="U95" s="5">
        <v>0</v>
      </c>
    </row>
    <row r="96" spans="1:21" x14ac:dyDescent="0.3">
      <c r="A96" s="2" t="s">
        <v>12</v>
      </c>
      <c r="B96" s="2">
        <v>2016</v>
      </c>
      <c r="C96" s="2" t="s">
        <v>13</v>
      </c>
      <c r="D96" s="8">
        <v>976.59439999999995</v>
      </c>
      <c r="E96" s="4">
        <f t="shared" si="1"/>
        <v>858621091.18553019</v>
      </c>
      <c r="F96" s="4">
        <v>103349180.7542478</v>
      </c>
      <c r="G96" s="4"/>
      <c r="H96" s="4"/>
      <c r="I96" s="4">
        <v>103349180.7542478</v>
      </c>
      <c r="J96" s="3">
        <v>3.200174706042858</v>
      </c>
      <c r="K96" s="4">
        <v>764.28222163691646</v>
      </c>
      <c r="L96" s="4">
        <v>11239451</v>
      </c>
      <c r="M96" s="3">
        <v>21.732111</v>
      </c>
      <c r="N96" s="3">
        <v>30.4939438</v>
      </c>
      <c r="O96" s="3">
        <v>29.908329500000001</v>
      </c>
      <c r="P96" s="3">
        <v>40.782627400000003</v>
      </c>
      <c r="Q96" s="3">
        <v>32.813097399999997</v>
      </c>
      <c r="R96" s="3">
        <v>31.3847649</v>
      </c>
      <c r="S96" s="2">
        <v>0</v>
      </c>
      <c r="T96" s="2">
        <v>0</v>
      </c>
      <c r="U96" s="2">
        <v>0</v>
      </c>
    </row>
    <row r="97" spans="1:21" x14ac:dyDescent="0.3">
      <c r="A97" s="5" t="s">
        <v>12</v>
      </c>
      <c r="B97" s="5">
        <v>2017</v>
      </c>
      <c r="C97" s="5" t="s">
        <v>13</v>
      </c>
      <c r="D97" s="9">
        <v>555.646883</v>
      </c>
      <c r="E97" s="7">
        <f t="shared" si="1"/>
        <v>488524338.24656236</v>
      </c>
      <c r="F97" s="7">
        <v>37614281.742380157</v>
      </c>
      <c r="G97" s="7">
        <v>1152338.15702097</v>
      </c>
      <c r="H97" s="7"/>
      <c r="I97" s="7">
        <v>38766619.899401143</v>
      </c>
      <c r="J97" s="6">
        <v>3.8318575692580619</v>
      </c>
      <c r="K97" s="7">
        <v>791.39349492989822</v>
      </c>
      <c r="L97" s="7">
        <v>11506762</v>
      </c>
      <c r="M97" s="6">
        <v>21.284969499999999</v>
      </c>
      <c r="N97" s="6">
        <v>33.417791700000002</v>
      </c>
      <c r="O97" s="6">
        <v>30.1866725</v>
      </c>
      <c r="P97" s="6">
        <v>41.390112599999988</v>
      </c>
      <c r="Q97" s="6">
        <v>34.118974999999999</v>
      </c>
      <c r="R97" s="6">
        <v>30.9812048</v>
      </c>
      <c r="S97" s="5">
        <v>0</v>
      </c>
      <c r="T97" s="5">
        <v>0</v>
      </c>
      <c r="U97" s="5">
        <v>0</v>
      </c>
    </row>
    <row r="98" spans="1:21" x14ac:dyDescent="0.3">
      <c r="A98" s="2" t="s">
        <v>12</v>
      </c>
      <c r="B98" s="2">
        <v>2018</v>
      </c>
      <c r="C98" s="2" t="s">
        <v>13</v>
      </c>
      <c r="D98" s="8">
        <v>545.328217</v>
      </c>
      <c r="E98" s="4">
        <f t="shared" si="1"/>
        <v>479452174.55148178</v>
      </c>
      <c r="F98" s="4">
        <v>544924.87393933802</v>
      </c>
      <c r="G98" s="4">
        <v>23613410.4774714</v>
      </c>
      <c r="H98" s="4"/>
      <c r="I98" s="4">
        <v>24158335.351410739</v>
      </c>
      <c r="J98" s="3">
        <v>5.3422447312502044</v>
      </c>
      <c r="K98" s="4">
        <v>823.01310224165923</v>
      </c>
      <c r="L98" s="4">
        <v>11859446</v>
      </c>
      <c r="M98" s="3">
        <v>18.2082157</v>
      </c>
      <c r="N98" s="3">
        <v>31.325617099999999</v>
      </c>
      <c r="O98" s="3">
        <v>38.159350600000003</v>
      </c>
      <c r="P98" s="3">
        <v>39.472522300000001</v>
      </c>
      <c r="Q98" s="3">
        <v>33.1410129</v>
      </c>
      <c r="R98" s="3">
        <v>29.433020299999999</v>
      </c>
      <c r="S98" s="2">
        <v>0</v>
      </c>
      <c r="T98" s="2">
        <v>0</v>
      </c>
      <c r="U98" s="2">
        <v>0</v>
      </c>
    </row>
    <row r="99" spans="1:21" x14ac:dyDescent="0.3">
      <c r="A99" s="5" t="s">
        <v>12</v>
      </c>
      <c r="B99" s="5">
        <v>2019</v>
      </c>
      <c r="C99" s="5" t="s">
        <v>13</v>
      </c>
      <c r="D99" s="9">
        <v>702.38765000000001</v>
      </c>
      <c r="E99" s="7">
        <f t="shared" si="1"/>
        <v>617538714.61708188</v>
      </c>
      <c r="F99" s="7">
        <v>44055.647506139198</v>
      </c>
      <c r="G99" s="7"/>
      <c r="H99" s="7"/>
      <c r="I99" s="7">
        <v>44055.647506139198</v>
      </c>
      <c r="J99" s="6">
        <v>4.4593420235878369</v>
      </c>
      <c r="K99" s="7">
        <v>868.4237316608336</v>
      </c>
      <c r="L99" s="7">
        <v>12255336</v>
      </c>
      <c r="M99" s="6">
        <v>18.086746300000001</v>
      </c>
      <c r="N99" s="6">
        <v>32.351073300000003</v>
      </c>
      <c r="O99" s="6">
        <v>37.380141000000002</v>
      </c>
      <c r="P99" s="6">
        <v>40.2556522</v>
      </c>
      <c r="Q99" s="6">
        <v>34.072998300000002</v>
      </c>
      <c r="R99" s="6">
        <v>28.431636399999999</v>
      </c>
      <c r="S99" s="5">
        <v>1</v>
      </c>
      <c r="T99" s="5">
        <v>1</v>
      </c>
      <c r="U99" s="5">
        <v>0</v>
      </c>
    </row>
    <row r="100" spans="1:21" x14ac:dyDescent="0.3">
      <c r="A100" s="2" t="s">
        <v>12</v>
      </c>
      <c r="B100" s="2">
        <v>2020</v>
      </c>
      <c r="C100" s="2" t="s">
        <v>13</v>
      </c>
      <c r="D100" s="8">
        <v>582.87369799999999</v>
      </c>
      <c r="E100" s="4">
        <f t="shared" si="1"/>
        <v>512462134.33141249</v>
      </c>
      <c r="F100" s="4">
        <v>1142442.7996552209</v>
      </c>
      <c r="G100" s="4">
        <v>0</v>
      </c>
      <c r="H100" s="4">
        <v>0</v>
      </c>
      <c r="I100" s="4">
        <v>1142442.7996552209</v>
      </c>
      <c r="J100" s="3">
        <v>0.30644380948159272</v>
      </c>
      <c r="K100" s="4">
        <v>958.13559949008379</v>
      </c>
      <c r="L100" s="4">
        <v>12617036</v>
      </c>
      <c r="M100" s="3">
        <v>20.468610099999999</v>
      </c>
      <c r="N100" s="3">
        <v>30.079630699999999</v>
      </c>
      <c r="O100" s="3">
        <v>40.3528211</v>
      </c>
      <c r="P100" s="3">
        <v>38.820736799999999</v>
      </c>
      <c r="Q100" s="3">
        <v>34.225722599999997</v>
      </c>
      <c r="R100" s="3">
        <v>31.2520138</v>
      </c>
      <c r="S100" s="2">
        <v>1</v>
      </c>
      <c r="T100" s="2">
        <v>1</v>
      </c>
      <c r="U100" s="2">
        <v>0</v>
      </c>
    </row>
    <row r="101" spans="1:21" x14ac:dyDescent="0.3">
      <c r="A101" s="5" t="s">
        <v>12</v>
      </c>
      <c r="B101" s="5">
        <v>2021</v>
      </c>
      <c r="C101" s="5" t="s">
        <v>13</v>
      </c>
      <c r="D101" s="9">
        <v>661.14842099999998</v>
      </c>
      <c r="E101" s="7">
        <f t="shared" si="1"/>
        <v>581281214.26316833</v>
      </c>
      <c r="F101" s="7">
        <v>9034761</v>
      </c>
      <c r="G101" s="7"/>
      <c r="H101" s="7">
        <v>0</v>
      </c>
      <c r="I101" s="7">
        <v>9034761</v>
      </c>
      <c r="J101" s="6">
        <v>3.2370747982357808</v>
      </c>
      <c r="K101" s="7">
        <v>1035.5385738493781</v>
      </c>
      <c r="L101" s="7">
        <v>12965481</v>
      </c>
      <c r="M101" s="6">
        <v>19.706585199999999</v>
      </c>
      <c r="N101" s="6">
        <v>29.480844300000001</v>
      </c>
      <c r="O101" s="6">
        <v>42.349868600000001</v>
      </c>
      <c r="P101" s="6">
        <v>39.090721500000001</v>
      </c>
      <c r="Q101" s="6">
        <v>34.379407299999997</v>
      </c>
      <c r="R101" s="6">
        <v>31.677987600000002</v>
      </c>
      <c r="S101" s="5">
        <v>1</v>
      </c>
      <c r="T101" s="5">
        <v>1</v>
      </c>
      <c r="U101" s="5">
        <v>0</v>
      </c>
    </row>
    <row r="102" spans="1:21" x14ac:dyDescent="0.3">
      <c r="A102" s="5" t="s">
        <v>14</v>
      </c>
      <c r="B102" s="5">
        <v>2002</v>
      </c>
      <c r="C102" s="5" t="s">
        <v>15</v>
      </c>
      <c r="D102" s="9">
        <v>113.104592</v>
      </c>
      <c r="E102" s="7">
        <f t="shared" si="1"/>
        <v>99441475.602495968</v>
      </c>
      <c r="F102" s="7">
        <v>13153825.703797329</v>
      </c>
      <c r="G102" s="7"/>
      <c r="H102" s="7"/>
      <c r="I102" s="7">
        <v>13153825.703797329</v>
      </c>
      <c r="J102" s="6">
        <v>5.250891169602113</v>
      </c>
      <c r="K102" s="7">
        <v>3388.4481445227439</v>
      </c>
      <c r="L102" s="7">
        <v>467046</v>
      </c>
      <c r="M102" s="6">
        <v>53.896208999999999</v>
      </c>
      <c r="N102" s="6">
        <v>45.4675406</v>
      </c>
      <c r="O102" s="6">
        <v>79.620009199999998</v>
      </c>
      <c r="P102" s="6">
        <v>51.157837600000001</v>
      </c>
      <c r="Q102" s="6">
        <v>63.721976699999999</v>
      </c>
      <c r="R102" s="6">
        <v>66.174413200000004</v>
      </c>
      <c r="S102" s="5">
        <v>0</v>
      </c>
      <c r="T102" s="5">
        <v>0</v>
      </c>
      <c r="U102" s="5">
        <v>0</v>
      </c>
    </row>
    <row r="103" spans="1:21" x14ac:dyDescent="0.3">
      <c r="A103" s="2" t="s">
        <v>14</v>
      </c>
      <c r="B103" s="2">
        <v>2003</v>
      </c>
      <c r="C103" s="2" t="s">
        <v>15</v>
      </c>
      <c r="D103" s="8">
        <v>191.73006699999999</v>
      </c>
      <c r="E103" s="4">
        <f t="shared" si="1"/>
        <v>168568936.4393394</v>
      </c>
      <c r="F103" s="4">
        <v>0</v>
      </c>
      <c r="G103" s="4">
        <v>0</v>
      </c>
      <c r="H103" s="4"/>
      <c r="I103" s="4">
        <v>0</v>
      </c>
      <c r="J103" s="3">
        <v>4.1762593257833203</v>
      </c>
      <c r="K103" s="4">
        <v>3551.4638434881022</v>
      </c>
      <c r="L103" s="4">
        <v>473383</v>
      </c>
      <c r="M103" s="3">
        <v>53.861201199999996</v>
      </c>
      <c r="N103" s="3">
        <v>45.226673899999987</v>
      </c>
      <c r="O103" s="3">
        <v>81.405217499999992</v>
      </c>
      <c r="P103" s="3">
        <v>51.158774399999999</v>
      </c>
      <c r="Q103" s="3">
        <v>63.695819899999996</v>
      </c>
      <c r="R103" s="3">
        <v>65.872288799999993</v>
      </c>
      <c r="S103" s="2">
        <v>0</v>
      </c>
      <c r="T103" s="2">
        <v>0</v>
      </c>
      <c r="U103" s="2">
        <v>0</v>
      </c>
    </row>
    <row r="104" spans="1:21" x14ac:dyDescent="0.3">
      <c r="A104" s="5" t="s">
        <v>14</v>
      </c>
      <c r="B104" s="5">
        <v>2004</v>
      </c>
      <c r="C104" s="5" t="s">
        <v>15</v>
      </c>
      <c r="D104" s="9">
        <v>181.67934099999999</v>
      </c>
      <c r="E104" s="7">
        <f t="shared" si="1"/>
        <v>159732345.39875311</v>
      </c>
      <c r="F104" s="7">
        <v>5694130.3047165899</v>
      </c>
      <c r="G104" s="7"/>
      <c r="H104" s="7"/>
      <c r="I104" s="7">
        <v>5694130.3047165899</v>
      </c>
      <c r="J104" s="6">
        <v>10.197072633926039</v>
      </c>
      <c r="K104" s="7">
        <v>3968.6569170408761</v>
      </c>
      <c r="L104" s="7">
        <v>479370</v>
      </c>
      <c r="M104" s="6">
        <v>52.400620699999997</v>
      </c>
      <c r="N104" s="6">
        <v>44.454720999999999</v>
      </c>
      <c r="O104" s="6">
        <v>80.834678400000001</v>
      </c>
      <c r="P104" s="6">
        <v>47.700554500000003</v>
      </c>
      <c r="Q104" s="6">
        <v>61.033928199999998</v>
      </c>
      <c r="R104" s="6">
        <v>67.578380699999997</v>
      </c>
      <c r="S104" s="5">
        <v>0</v>
      </c>
      <c r="T104" s="5">
        <v>0</v>
      </c>
      <c r="U104" s="5">
        <v>0</v>
      </c>
    </row>
    <row r="105" spans="1:21" x14ac:dyDescent="0.3">
      <c r="A105" s="2" t="s">
        <v>14</v>
      </c>
      <c r="B105" s="2">
        <v>2005</v>
      </c>
      <c r="C105" s="2" t="s">
        <v>15</v>
      </c>
      <c r="D105" s="8">
        <v>225.25675100000001</v>
      </c>
      <c r="E105" s="4">
        <f t="shared" si="1"/>
        <v>198045572.7992371</v>
      </c>
      <c r="F105" s="4">
        <v>8210882.7888100604</v>
      </c>
      <c r="G105" s="4"/>
      <c r="H105" s="4"/>
      <c r="I105" s="4">
        <v>8210882.7888100604</v>
      </c>
      <c r="J105" s="3">
        <v>6.9124579572020082</v>
      </c>
      <c r="K105" s="4">
        <v>4324.2023245463861</v>
      </c>
      <c r="L105" s="4">
        <v>485115</v>
      </c>
      <c r="M105" s="3">
        <v>59.4301271</v>
      </c>
      <c r="N105" s="3">
        <v>47.019206500000003</v>
      </c>
      <c r="O105" s="3">
        <v>80.582058599999996</v>
      </c>
      <c r="P105" s="3">
        <v>49.056179</v>
      </c>
      <c r="Q105" s="3">
        <v>67.379734799999994</v>
      </c>
      <c r="R105" s="3">
        <v>71.019730499999994</v>
      </c>
      <c r="S105" s="2">
        <v>0</v>
      </c>
      <c r="T105" s="2">
        <v>0</v>
      </c>
      <c r="U105" s="2">
        <v>0</v>
      </c>
    </row>
    <row r="106" spans="1:21" x14ac:dyDescent="0.3">
      <c r="A106" s="5" t="s">
        <v>14</v>
      </c>
      <c r="B106" s="5">
        <v>2006</v>
      </c>
      <c r="C106" s="5" t="s">
        <v>15</v>
      </c>
      <c r="D106" s="9">
        <v>184.72053099999999</v>
      </c>
      <c r="E106" s="7">
        <f t="shared" si="1"/>
        <v>162406157.45041192</v>
      </c>
      <c r="F106" s="7">
        <v>203194.90852567001</v>
      </c>
      <c r="G106" s="7"/>
      <c r="H106" s="7"/>
      <c r="I106" s="7">
        <v>203194.90852567001</v>
      </c>
      <c r="J106" s="6">
        <v>7.9837504479504844</v>
      </c>
      <c r="K106" s="7">
        <v>4758.3770499567772</v>
      </c>
      <c r="L106" s="7">
        <v>490728</v>
      </c>
      <c r="M106" s="6">
        <v>62.193574299999987</v>
      </c>
      <c r="N106" s="6">
        <v>54.031645599999997</v>
      </c>
      <c r="O106" s="6">
        <v>82.16085799999999</v>
      </c>
      <c r="P106" s="6">
        <v>50.124560299999999</v>
      </c>
      <c r="Q106" s="6">
        <v>70.206790699999999</v>
      </c>
      <c r="R106" s="6">
        <v>72.42372069999999</v>
      </c>
      <c r="S106" s="5">
        <v>0</v>
      </c>
      <c r="T106" s="5">
        <v>0</v>
      </c>
      <c r="U106" s="5">
        <v>0</v>
      </c>
    </row>
    <row r="107" spans="1:21" x14ac:dyDescent="0.3">
      <c r="A107" s="2" t="s">
        <v>14</v>
      </c>
      <c r="B107" s="2">
        <v>2007</v>
      </c>
      <c r="C107" s="2" t="s">
        <v>15</v>
      </c>
      <c r="D107" s="8">
        <v>196.57458600000001</v>
      </c>
      <c r="E107" s="4">
        <f t="shared" si="1"/>
        <v>172828234.04543775</v>
      </c>
      <c r="F107" s="4">
        <v>39176928.837028503</v>
      </c>
      <c r="G107" s="4"/>
      <c r="H107" s="4"/>
      <c r="I107" s="4">
        <v>39176928.837028503</v>
      </c>
      <c r="J107" s="3">
        <v>15.170687973551679</v>
      </c>
      <c r="K107" s="4">
        <v>5566.7694910158316</v>
      </c>
      <c r="L107" s="4">
        <v>496190</v>
      </c>
      <c r="M107" s="3">
        <v>63.9516609</v>
      </c>
      <c r="N107" s="3">
        <v>56.994925899999998</v>
      </c>
      <c r="O107" s="3">
        <v>81.504623899999999</v>
      </c>
      <c r="P107" s="3">
        <v>51.714280100000003</v>
      </c>
      <c r="Q107" s="3">
        <v>70.203899300000003</v>
      </c>
      <c r="R107" s="3">
        <v>73.550599199999994</v>
      </c>
      <c r="S107" s="2">
        <v>0</v>
      </c>
      <c r="T107" s="2">
        <v>0</v>
      </c>
      <c r="U107" s="2">
        <v>0</v>
      </c>
    </row>
    <row r="108" spans="1:21" x14ac:dyDescent="0.3">
      <c r="A108" s="5" t="s">
        <v>14</v>
      </c>
      <c r="B108" s="5">
        <v>2008</v>
      </c>
      <c r="C108" s="5" t="s">
        <v>15</v>
      </c>
      <c r="D108" s="9">
        <v>245.06652199999999</v>
      </c>
      <c r="E108" s="7">
        <f t="shared" si="1"/>
        <v>215462309.15586117</v>
      </c>
      <c r="F108" s="7">
        <v>45192467.301019527</v>
      </c>
      <c r="G108" s="7"/>
      <c r="H108" s="7"/>
      <c r="I108" s="7">
        <v>45192467.301019527</v>
      </c>
      <c r="J108" s="6">
        <v>7.039011295651278</v>
      </c>
      <c r="K108" s="7">
        <v>6010.8513684747159</v>
      </c>
      <c r="L108" s="7">
        <v>501355</v>
      </c>
      <c r="M108" s="6">
        <v>65.827871000000002</v>
      </c>
      <c r="N108" s="6">
        <v>54.864468000000002</v>
      </c>
      <c r="O108" s="6">
        <v>80.396000700000002</v>
      </c>
      <c r="P108" s="6">
        <v>52.6795951</v>
      </c>
      <c r="Q108" s="6">
        <v>69.594170599999998</v>
      </c>
      <c r="R108" s="6">
        <v>73.807386999999991</v>
      </c>
      <c r="S108" s="5">
        <v>0</v>
      </c>
      <c r="T108" s="5">
        <v>0</v>
      </c>
      <c r="U108" s="5">
        <v>0</v>
      </c>
    </row>
    <row r="109" spans="1:21" x14ac:dyDescent="0.3">
      <c r="A109" s="2" t="s">
        <v>14</v>
      </c>
      <c r="B109" s="2">
        <v>2009</v>
      </c>
      <c r="C109" s="2" t="s">
        <v>15</v>
      </c>
      <c r="D109" s="8">
        <v>234.185722</v>
      </c>
      <c r="E109" s="4">
        <f t="shared" si="1"/>
        <v>205895917.65395257</v>
      </c>
      <c r="F109" s="4">
        <v>29928045.264084399</v>
      </c>
      <c r="G109" s="4"/>
      <c r="H109" s="4"/>
      <c r="I109" s="4">
        <v>29928045.264084399</v>
      </c>
      <c r="J109" s="3">
        <v>-1.503586723856785</v>
      </c>
      <c r="K109" s="4">
        <v>5900.6608652914201</v>
      </c>
      <c r="L109" s="4">
        <v>506141</v>
      </c>
      <c r="M109" s="3">
        <v>65.783159400000002</v>
      </c>
      <c r="N109" s="3">
        <v>54.857697599999987</v>
      </c>
      <c r="O109" s="3">
        <v>83.142226699999995</v>
      </c>
      <c r="P109" s="3">
        <v>53.884933799999999</v>
      </c>
      <c r="Q109" s="3">
        <v>68.760360199999994</v>
      </c>
      <c r="R109" s="3">
        <v>73.1108002</v>
      </c>
      <c r="S109" s="2">
        <v>0</v>
      </c>
      <c r="T109" s="2">
        <v>0</v>
      </c>
      <c r="U109" s="2">
        <v>0</v>
      </c>
    </row>
    <row r="110" spans="1:21" x14ac:dyDescent="0.3">
      <c r="A110" s="5" t="s">
        <v>14</v>
      </c>
      <c r="B110" s="5">
        <v>2010</v>
      </c>
      <c r="C110" s="5" t="s">
        <v>15</v>
      </c>
      <c r="D110" s="9">
        <v>391.57851299999999</v>
      </c>
      <c r="E110" s="7">
        <f t="shared" si="1"/>
        <v>344275545.83240223</v>
      </c>
      <c r="F110" s="7">
        <v>0</v>
      </c>
      <c r="G110" s="7"/>
      <c r="H110" s="7"/>
      <c r="I110" s="7">
        <v>0</v>
      </c>
      <c r="J110" s="6">
        <v>1.8364191498997831</v>
      </c>
      <c r="K110" s="7">
        <v>6038.5852565566456</v>
      </c>
      <c r="L110" s="7">
        <v>509784</v>
      </c>
      <c r="M110" s="6">
        <v>64.982981199999998</v>
      </c>
      <c r="N110" s="6">
        <v>53.4369716</v>
      </c>
      <c r="O110" s="6">
        <v>83.164658199999991</v>
      </c>
      <c r="P110" s="6">
        <v>52.977756999999997</v>
      </c>
      <c r="Q110" s="6">
        <v>66.745129699999993</v>
      </c>
      <c r="R110" s="6">
        <v>72.030182499999995</v>
      </c>
      <c r="S110" s="5">
        <v>0</v>
      </c>
      <c r="T110" s="5">
        <v>0</v>
      </c>
      <c r="U110" s="5">
        <v>0</v>
      </c>
    </row>
    <row r="111" spans="1:21" x14ac:dyDescent="0.3">
      <c r="A111" s="2" t="s">
        <v>14</v>
      </c>
      <c r="B111" s="2">
        <v>2011</v>
      </c>
      <c r="C111" s="2" t="s">
        <v>15</v>
      </c>
      <c r="D111" s="8">
        <v>288.91494399999999</v>
      </c>
      <c r="E111" s="4">
        <f t="shared" si="1"/>
        <v>254013810.11102086</v>
      </c>
      <c r="F111" s="4">
        <v>20966826.738548361</v>
      </c>
      <c r="G111" s="4"/>
      <c r="H111" s="4"/>
      <c r="I111" s="4">
        <v>20966826.738548361</v>
      </c>
      <c r="J111" s="3">
        <v>3.9247182133828322</v>
      </c>
      <c r="K111" s="4">
        <v>6384.2284409041476</v>
      </c>
      <c r="L111" s="4">
        <v>511447</v>
      </c>
      <c r="M111" s="3">
        <v>66.524163599999994</v>
      </c>
      <c r="N111" s="3">
        <v>53.8897665</v>
      </c>
      <c r="O111" s="3">
        <v>83.268434099999993</v>
      </c>
      <c r="P111" s="3">
        <v>54.739818999999997</v>
      </c>
      <c r="Q111" s="3">
        <v>67.091209399999997</v>
      </c>
      <c r="R111" s="3">
        <v>73.237269599999991</v>
      </c>
      <c r="S111" s="2">
        <v>0</v>
      </c>
      <c r="T111" s="2">
        <v>0</v>
      </c>
      <c r="U111" s="2">
        <v>0</v>
      </c>
    </row>
    <row r="112" spans="1:21" x14ac:dyDescent="0.3">
      <c r="A112" s="5" t="s">
        <v>14</v>
      </c>
      <c r="B112" s="5">
        <v>2012</v>
      </c>
      <c r="C112" s="5" t="s">
        <v>15</v>
      </c>
      <c r="D112" s="9">
        <v>300.32025299999998</v>
      </c>
      <c r="E112" s="7">
        <f t="shared" si="1"/>
        <v>264041349.54693013</v>
      </c>
      <c r="F112" s="7">
        <v>112598068.85601249</v>
      </c>
      <c r="G112" s="7"/>
      <c r="H112" s="7"/>
      <c r="I112" s="7">
        <v>112598068.85601249</v>
      </c>
      <c r="J112" s="6">
        <v>1.083648483761664</v>
      </c>
      <c r="K112" s="7">
        <v>6318.0610872336438</v>
      </c>
      <c r="L112" s="7">
        <v>511955</v>
      </c>
      <c r="M112" s="6">
        <v>65.711101599999992</v>
      </c>
      <c r="N112" s="6">
        <v>53.5134878</v>
      </c>
      <c r="O112" s="6">
        <v>80.257043600000003</v>
      </c>
      <c r="P112" s="6">
        <v>54.3282685</v>
      </c>
      <c r="Q112" s="6">
        <v>67.4004221</v>
      </c>
      <c r="R112" s="6">
        <v>72.561752299999995</v>
      </c>
      <c r="S112" s="5">
        <v>0</v>
      </c>
      <c r="T112" s="5">
        <v>0</v>
      </c>
      <c r="U112" s="5">
        <v>0</v>
      </c>
    </row>
    <row r="113" spans="1:21" x14ac:dyDescent="0.3">
      <c r="A113" s="2" t="s">
        <v>14</v>
      </c>
      <c r="B113" s="2">
        <v>2013</v>
      </c>
      <c r="C113" s="2" t="s">
        <v>15</v>
      </c>
      <c r="D113" s="8">
        <v>288.914357</v>
      </c>
      <c r="E113" s="4">
        <f t="shared" si="1"/>
        <v>254013294.02104479</v>
      </c>
      <c r="F113" s="4">
        <v>2278570.1747632301</v>
      </c>
      <c r="G113" s="4"/>
      <c r="H113" s="4"/>
      <c r="I113" s="4">
        <v>2278570.1747632301</v>
      </c>
      <c r="J113" s="3">
        <v>0.63213672738513083</v>
      </c>
      <c r="K113" s="4">
        <v>6367.280013225015</v>
      </c>
      <c r="L113" s="4">
        <v>512225</v>
      </c>
      <c r="M113" s="3">
        <v>64.561483699999997</v>
      </c>
      <c r="N113" s="3">
        <v>52.782446999999998</v>
      </c>
      <c r="O113" s="3">
        <v>79.644955199999998</v>
      </c>
      <c r="P113" s="3">
        <v>51.985799299999996</v>
      </c>
      <c r="Q113" s="3">
        <v>67.226437300000001</v>
      </c>
      <c r="R113" s="3">
        <v>71.370317599999993</v>
      </c>
      <c r="S113" s="2">
        <v>0</v>
      </c>
      <c r="T113" s="2">
        <v>0</v>
      </c>
      <c r="U113" s="2">
        <v>0</v>
      </c>
    </row>
    <row r="114" spans="1:21" x14ac:dyDescent="0.3">
      <c r="A114" s="5" t="s">
        <v>14</v>
      </c>
      <c r="B114" s="5">
        <v>2014</v>
      </c>
      <c r="C114" s="5" t="s">
        <v>15</v>
      </c>
      <c r="D114" s="9">
        <v>278.80586899999997</v>
      </c>
      <c r="E114" s="7">
        <f t="shared" si="1"/>
        <v>245125918.67177406</v>
      </c>
      <c r="F114" s="7">
        <v>2324899.9859578242</v>
      </c>
      <c r="G114" s="7"/>
      <c r="H114" s="7"/>
      <c r="I114" s="7">
        <v>2324899.9859578242</v>
      </c>
      <c r="J114" s="6">
        <v>0.69666684011858138</v>
      </c>
      <c r="K114" s="7">
        <v>6416.8330115097669</v>
      </c>
      <c r="L114" s="7">
        <v>512326</v>
      </c>
      <c r="M114" s="6">
        <v>65.825247699999991</v>
      </c>
      <c r="N114" s="6">
        <v>55.080473499999997</v>
      </c>
      <c r="O114" s="6">
        <v>76.920747399999996</v>
      </c>
      <c r="P114" s="6">
        <v>51.776862700000002</v>
      </c>
      <c r="Q114" s="6">
        <v>68.437678399999996</v>
      </c>
      <c r="R114" s="6">
        <v>70.390395299999994</v>
      </c>
      <c r="S114" s="5">
        <v>0</v>
      </c>
      <c r="T114" s="5">
        <v>0</v>
      </c>
      <c r="U114" s="5">
        <v>0</v>
      </c>
    </row>
    <row r="115" spans="1:21" x14ac:dyDescent="0.3">
      <c r="A115" s="2" t="s">
        <v>14</v>
      </c>
      <c r="B115" s="2">
        <v>2015</v>
      </c>
      <c r="C115" s="2" t="s">
        <v>15</v>
      </c>
      <c r="D115" s="8">
        <v>212.31862599999999</v>
      </c>
      <c r="E115" s="4">
        <f t="shared" si="1"/>
        <v>186670382.64312437</v>
      </c>
      <c r="F115" s="4">
        <v>13176303.347813301</v>
      </c>
      <c r="G115" s="4">
        <v>918710.88535011129</v>
      </c>
      <c r="H115" s="4">
        <v>0</v>
      </c>
      <c r="I115" s="4">
        <v>14095014.233163411</v>
      </c>
      <c r="J115" s="3">
        <v>0.93602650780883323</v>
      </c>
      <c r="K115" s="4">
        <v>6773.4867996938583</v>
      </c>
      <c r="L115" s="4">
        <v>512394</v>
      </c>
      <c r="M115" s="3">
        <v>65.848620600000004</v>
      </c>
      <c r="N115" s="3">
        <v>57.626595999999999</v>
      </c>
      <c r="O115" s="3">
        <v>80.303107499999996</v>
      </c>
      <c r="P115" s="3">
        <v>51.4960983</v>
      </c>
      <c r="Q115" s="3">
        <v>68.641699299999999</v>
      </c>
      <c r="R115" s="3">
        <v>70.317411699999994</v>
      </c>
      <c r="S115" s="2">
        <v>0</v>
      </c>
      <c r="T115" s="2">
        <v>0</v>
      </c>
      <c r="U115" s="2">
        <v>0</v>
      </c>
    </row>
    <row r="116" spans="1:21" x14ac:dyDescent="0.3">
      <c r="A116" s="5" t="s">
        <v>14</v>
      </c>
      <c r="B116" s="5">
        <v>2016</v>
      </c>
      <c r="C116" s="5" t="s">
        <v>15</v>
      </c>
      <c r="D116" s="9">
        <v>165.91082900000001</v>
      </c>
      <c r="E116" s="7">
        <f t="shared" si="1"/>
        <v>145868681.03634009</v>
      </c>
      <c r="F116" s="7">
        <v>86866885.976622909</v>
      </c>
      <c r="G116" s="7"/>
      <c r="H116" s="7">
        <v>0</v>
      </c>
      <c r="I116" s="7">
        <v>86866885.976622909</v>
      </c>
      <c r="J116" s="6">
        <v>4.2807148266237078</v>
      </c>
      <c r="K116" s="7">
        <v>7350.7535872672688</v>
      </c>
      <c r="L116" s="7">
        <v>512554</v>
      </c>
      <c r="M116" s="6">
        <v>65.188673699999995</v>
      </c>
      <c r="N116" s="6">
        <v>56.975927199999987</v>
      </c>
      <c r="O116" s="6">
        <v>80.034917899999996</v>
      </c>
      <c r="P116" s="6">
        <v>51.995694299999997</v>
      </c>
      <c r="Q116" s="6">
        <v>68.759069400000001</v>
      </c>
      <c r="R116" s="6">
        <v>69.504242500000004</v>
      </c>
      <c r="S116" s="5">
        <v>0</v>
      </c>
      <c r="T116" s="5">
        <v>0</v>
      </c>
      <c r="U116" s="5">
        <v>0</v>
      </c>
    </row>
    <row r="117" spans="1:21" x14ac:dyDescent="0.3">
      <c r="A117" s="2" t="s">
        <v>14</v>
      </c>
      <c r="B117" s="2">
        <v>2017</v>
      </c>
      <c r="C117" s="2" t="s">
        <v>15</v>
      </c>
      <c r="D117" s="8">
        <v>173.06877</v>
      </c>
      <c r="E117" s="4">
        <f t="shared" si="1"/>
        <v>152161937.59408978</v>
      </c>
      <c r="F117" s="4">
        <v>90091342.078789264</v>
      </c>
      <c r="G117" s="4"/>
      <c r="H117" s="4"/>
      <c r="I117" s="4">
        <v>90091342.078789264</v>
      </c>
      <c r="J117" s="3">
        <v>4.5513148102973986</v>
      </c>
      <c r="K117" s="4">
        <v>7935.76176281072</v>
      </c>
      <c r="L117" s="4">
        <v>512893</v>
      </c>
      <c r="M117" s="3">
        <v>64.211388099999994</v>
      </c>
      <c r="N117" s="3">
        <v>57.551153199999987</v>
      </c>
      <c r="O117" s="3">
        <v>78.198700500000001</v>
      </c>
      <c r="P117" s="3">
        <v>52.668249199999998</v>
      </c>
      <c r="Q117" s="3">
        <v>69.038259699999998</v>
      </c>
      <c r="R117" s="3">
        <v>69.697370199999995</v>
      </c>
      <c r="S117" s="2">
        <v>0</v>
      </c>
      <c r="T117" s="2">
        <v>0</v>
      </c>
      <c r="U117" s="2">
        <v>0</v>
      </c>
    </row>
    <row r="118" spans="1:21" x14ac:dyDescent="0.3">
      <c r="A118" s="5" t="s">
        <v>14</v>
      </c>
      <c r="B118" s="5">
        <v>2018</v>
      </c>
      <c r="C118" s="5" t="s">
        <v>15</v>
      </c>
      <c r="D118" s="9">
        <v>121.067373</v>
      </c>
      <c r="E118" s="7">
        <f t="shared" si="1"/>
        <v>106442346.90699188</v>
      </c>
      <c r="F118" s="7">
        <v>25667.248527134099</v>
      </c>
      <c r="G118" s="7">
        <v>0</v>
      </c>
      <c r="H118" s="7"/>
      <c r="I118" s="7">
        <v>25667.248527134099</v>
      </c>
      <c r="J118" s="6">
        <v>3.7069645831084159</v>
      </c>
      <c r="K118" s="7">
        <v>7916.421153261741</v>
      </c>
      <c r="L118" s="7">
        <v>513415</v>
      </c>
      <c r="M118" s="6">
        <v>65.514728399999996</v>
      </c>
      <c r="N118" s="6">
        <v>58.056754099999999</v>
      </c>
      <c r="O118" s="6">
        <v>80.222120199999992</v>
      </c>
      <c r="P118" s="6">
        <v>51.597639399999998</v>
      </c>
      <c r="Q118" s="6">
        <v>69.701911299999992</v>
      </c>
      <c r="R118" s="6">
        <v>71.677216799999997</v>
      </c>
      <c r="S118" s="5">
        <v>0</v>
      </c>
      <c r="T118" s="5">
        <v>0</v>
      </c>
      <c r="U118" s="5">
        <v>0</v>
      </c>
    </row>
    <row r="119" spans="1:21" x14ac:dyDescent="0.3">
      <c r="A119" s="2" t="s">
        <v>14</v>
      </c>
      <c r="B119" s="2">
        <v>2019</v>
      </c>
      <c r="C119" s="2" t="s">
        <v>15</v>
      </c>
      <c r="D119" s="8">
        <v>206.43928199999999</v>
      </c>
      <c r="E119" s="4">
        <f t="shared" si="1"/>
        <v>181501267.64437458</v>
      </c>
      <c r="F119" s="4">
        <v>50792.315524420803</v>
      </c>
      <c r="G119" s="4">
        <v>0</v>
      </c>
      <c r="H119" s="4"/>
      <c r="I119" s="4">
        <v>50792.315524420803</v>
      </c>
      <c r="J119" s="3">
        <v>6.9478263405185876</v>
      </c>
      <c r="K119" s="4">
        <v>8645.7564685934303</v>
      </c>
      <c r="L119" s="4">
        <v>514104</v>
      </c>
      <c r="M119" s="3">
        <v>65.858239299999994</v>
      </c>
      <c r="N119" s="3">
        <v>58.805990599999987</v>
      </c>
      <c r="O119" s="3">
        <v>80.23162099999999</v>
      </c>
      <c r="P119" s="3">
        <v>54.009305699999999</v>
      </c>
      <c r="Q119" s="3">
        <v>70.188199699999998</v>
      </c>
      <c r="R119" s="3">
        <v>70.995808099999991</v>
      </c>
      <c r="S119" s="2">
        <v>0</v>
      </c>
      <c r="T119" s="2">
        <v>0</v>
      </c>
      <c r="U119" s="2">
        <v>0</v>
      </c>
    </row>
    <row r="120" spans="1:21" x14ac:dyDescent="0.3">
      <c r="A120" s="5" t="s">
        <v>14</v>
      </c>
      <c r="B120" s="5">
        <v>2020</v>
      </c>
      <c r="C120" s="5" t="s">
        <v>15</v>
      </c>
      <c r="D120" s="9">
        <v>203.865452</v>
      </c>
      <c r="E120" s="7">
        <f t="shared" si="1"/>
        <v>179238358.16718933</v>
      </c>
      <c r="F120" s="7">
        <v>58633.942625338401</v>
      </c>
      <c r="G120" s="7"/>
      <c r="H120" s="7">
        <v>0</v>
      </c>
      <c r="I120" s="7">
        <v>58633.942625338401</v>
      </c>
      <c r="J120" s="6">
        <v>-20.805275899073521</v>
      </c>
      <c r="K120" s="7">
        <v>6852.5766993035459</v>
      </c>
      <c r="L120" s="7">
        <v>514679</v>
      </c>
      <c r="M120" s="6">
        <v>64.053404900000004</v>
      </c>
      <c r="N120" s="6">
        <v>59.020751699999998</v>
      </c>
      <c r="O120" s="6">
        <v>80.2264026</v>
      </c>
      <c r="P120" s="6">
        <v>54.897531600000001</v>
      </c>
      <c r="Q120" s="6">
        <v>68.475058399999995</v>
      </c>
      <c r="R120" s="6">
        <v>69.441991399999992</v>
      </c>
      <c r="S120" s="5">
        <v>0</v>
      </c>
      <c r="T120" s="5">
        <v>0</v>
      </c>
      <c r="U120" s="5">
        <v>0</v>
      </c>
    </row>
    <row r="121" spans="1:21" x14ac:dyDescent="0.3">
      <c r="A121" s="2" t="s">
        <v>14</v>
      </c>
      <c r="B121" s="2">
        <v>2021</v>
      </c>
      <c r="C121" s="2" t="s">
        <v>15</v>
      </c>
      <c r="D121" s="8">
        <v>186.384953</v>
      </c>
      <c r="E121" s="4">
        <f t="shared" si="1"/>
        <v>163869516.07076979</v>
      </c>
      <c r="F121" s="4">
        <v>2400000</v>
      </c>
      <c r="G121" s="4"/>
      <c r="H121" s="4">
        <v>0</v>
      </c>
      <c r="I121" s="4">
        <v>2400000</v>
      </c>
      <c r="J121" s="3">
        <v>7.0335301069451361</v>
      </c>
      <c r="K121" s="4">
        <v>7685.419213936686</v>
      </c>
      <c r="L121" s="4">
        <v>516649</v>
      </c>
      <c r="M121" s="3">
        <v>66.02355399999999</v>
      </c>
      <c r="N121" s="3">
        <v>56.735398799999999</v>
      </c>
      <c r="O121" s="3">
        <v>80.138755199999991</v>
      </c>
      <c r="P121" s="3">
        <v>55.900250100000001</v>
      </c>
      <c r="Q121" s="3">
        <v>65.335696999999996</v>
      </c>
      <c r="R121" s="3">
        <v>69.663138899999993</v>
      </c>
      <c r="S121" s="2">
        <v>0</v>
      </c>
      <c r="T121" s="2">
        <v>0</v>
      </c>
      <c r="U121" s="2">
        <v>0</v>
      </c>
    </row>
    <row r="122" spans="1:21" x14ac:dyDescent="0.3">
      <c r="A122" s="2" t="s">
        <v>16</v>
      </c>
      <c r="B122" s="2">
        <v>2002</v>
      </c>
      <c r="C122" s="2" t="s">
        <v>17</v>
      </c>
      <c r="D122" s="8">
        <v>967.36422700000003</v>
      </c>
      <c r="E122" s="4">
        <f t="shared" si="1"/>
        <v>850505929.74994218</v>
      </c>
      <c r="F122" s="4">
        <v>0</v>
      </c>
      <c r="G122" s="4"/>
      <c r="H122" s="4">
        <v>0</v>
      </c>
      <c r="I122" s="4">
        <v>0</v>
      </c>
      <c r="J122" s="3">
        <v>4.4770268336915544</v>
      </c>
      <c r="K122" s="4">
        <v>2263.0551967435558</v>
      </c>
      <c r="L122" s="4">
        <v>15725528</v>
      </c>
      <c r="M122" s="3">
        <v>20.341276700000002</v>
      </c>
      <c r="N122" s="3">
        <v>27.910063000000001</v>
      </c>
      <c r="O122" s="3">
        <v>51.243583200000003</v>
      </c>
      <c r="P122" s="3">
        <v>37.368914500000002</v>
      </c>
      <c r="Q122" s="3">
        <v>34.6035854</v>
      </c>
      <c r="R122" s="3">
        <v>33.340480800000002</v>
      </c>
      <c r="S122" s="2">
        <v>0</v>
      </c>
      <c r="T122" s="2">
        <v>0</v>
      </c>
      <c r="U122" s="2">
        <v>0</v>
      </c>
    </row>
    <row r="123" spans="1:21" x14ac:dyDescent="0.3">
      <c r="A123" s="5" t="s">
        <v>16</v>
      </c>
      <c r="B123" s="5">
        <v>2003</v>
      </c>
      <c r="C123" s="5" t="s">
        <v>17</v>
      </c>
      <c r="D123" s="9">
        <v>1406.0598849999999</v>
      </c>
      <c r="E123" s="7">
        <f t="shared" si="1"/>
        <v>1236206835.4384389</v>
      </c>
      <c r="F123" s="7">
        <v>15015554.566636881</v>
      </c>
      <c r="G123" s="7"/>
      <c r="H123" s="7"/>
      <c r="I123" s="7">
        <v>15015554.566636881</v>
      </c>
      <c r="J123" s="6">
        <v>5.4531536888134724</v>
      </c>
      <c r="K123" s="7">
        <v>2368.1011947736929</v>
      </c>
      <c r="L123" s="7">
        <v>16160340</v>
      </c>
      <c r="M123" s="6">
        <v>26.311808800000001</v>
      </c>
      <c r="N123" s="6">
        <v>26.336851200000002</v>
      </c>
      <c r="O123" s="6">
        <v>54.851119799999999</v>
      </c>
      <c r="P123" s="6">
        <v>37.313165599999998</v>
      </c>
      <c r="Q123" s="6">
        <v>35.799538200000001</v>
      </c>
      <c r="R123" s="6">
        <v>34.469601300000001</v>
      </c>
      <c r="S123" s="5">
        <v>0</v>
      </c>
      <c r="T123" s="5">
        <v>0</v>
      </c>
      <c r="U123" s="5">
        <v>0</v>
      </c>
    </row>
    <row r="124" spans="1:21" x14ac:dyDescent="0.3">
      <c r="A124" s="2" t="s">
        <v>16</v>
      </c>
      <c r="B124" s="2">
        <v>2004</v>
      </c>
      <c r="C124" s="2" t="s">
        <v>17</v>
      </c>
      <c r="D124" s="8">
        <v>1193.581416</v>
      </c>
      <c r="E124" s="4">
        <f t="shared" si="1"/>
        <v>1049395918.945153</v>
      </c>
      <c r="F124" s="4">
        <v>0</v>
      </c>
      <c r="G124" s="4"/>
      <c r="H124" s="4"/>
      <c r="I124" s="4">
        <v>0</v>
      </c>
      <c r="J124" s="3">
        <v>7.0488628185837428</v>
      </c>
      <c r="K124" s="4">
        <v>2532.6474442421409</v>
      </c>
      <c r="L124" s="4">
        <v>16610487</v>
      </c>
      <c r="M124" s="3">
        <v>24.4523324</v>
      </c>
      <c r="N124" s="3">
        <v>30.9468514</v>
      </c>
      <c r="O124" s="3">
        <v>56.388165000000001</v>
      </c>
      <c r="P124" s="3">
        <v>42.133780799999997</v>
      </c>
      <c r="Q124" s="3">
        <v>39.946124999999988</v>
      </c>
      <c r="R124" s="3">
        <v>37.784040699999998</v>
      </c>
      <c r="S124" s="2">
        <v>0</v>
      </c>
      <c r="T124" s="2">
        <v>0</v>
      </c>
      <c r="U124" s="2">
        <v>0</v>
      </c>
    </row>
    <row r="125" spans="1:21" x14ac:dyDescent="0.3">
      <c r="A125" s="5" t="s">
        <v>16</v>
      </c>
      <c r="B125" s="5">
        <v>2005</v>
      </c>
      <c r="C125" s="5" t="s">
        <v>17</v>
      </c>
      <c r="D125" s="9">
        <v>770.38438299999996</v>
      </c>
      <c r="E125" s="7">
        <f t="shared" si="1"/>
        <v>677321393.16358089</v>
      </c>
      <c r="F125" s="7">
        <v>0</v>
      </c>
      <c r="G125" s="7"/>
      <c r="H125" s="7"/>
      <c r="I125" s="7">
        <v>0</v>
      </c>
      <c r="J125" s="6">
        <v>2.2282702092411739</v>
      </c>
      <c r="K125" s="7">
        <v>2597.6803989321938</v>
      </c>
      <c r="L125" s="7">
        <v>17074594</v>
      </c>
      <c r="M125" s="6">
        <v>22.9156659</v>
      </c>
      <c r="N125" s="6">
        <v>30.341273300000001</v>
      </c>
      <c r="O125" s="6">
        <v>59.606153999999997</v>
      </c>
      <c r="P125" s="6">
        <v>42.276356</v>
      </c>
      <c r="Q125" s="6">
        <v>36.1845967</v>
      </c>
      <c r="R125" s="6">
        <v>38.277187300000001</v>
      </c>
      <c r="S125" s="5">
        <v>0</v>
      </c>
      <c r="T125" s="5">
        <v>0</v>
      </c>
      <c r="U125" s="5">
        <v>0</v>
      </c>
    </row>
    <row r="126" spans="1:21" x14ac:dyDescent="0.3">
      <c r="A126" s="2" t="s">
        <v>16</v>
      </c>
      <c r="B126" s="2">
        <v>2006</v>
      </c>
      <c r="C126" s="2" t="s">
        <v>17</v>
      </c>
      <c r="D126" s="8">
        <v>4162.1022979999998</v>
      </c>
      <c r="E126" s="4">
        <f t="shared" si="1"/>
        <v>3659317334.5398693</v>
      </c>
      <c r="F126" s="4">
        <v>1898519.273249343</v>
      </c>
      <c r="G126" s="4"/>
      <c r="H126" s="4"/>
      <c r="I126" s="4">
        <v>1898519.273249343</v>
      </c>
      <c r="J126" s="3">
        <v>3.809583275661367</v>
      </c>
      <c r="K126" s="4">
        <v>2704.4373980037649</v>
      </c>
      <c r="L126" s="4">
        <v>17550407</v>
      </c>
      <c r="M126" s="3">
        <v>30.6113091</v>
      </c>
      <c r="N126" s="3">
        <v>30.253664400000002</v>
      </c>
      <c r="O126" s="3">
        <v>61.345592099999998</v>
      </c>
      <c r="P126" s="3">
        <v>42.271520500000001</v>
      </c>
      <c r="Q126" s="3">
        <v>36.744256100000001</v>
      </c>
      <c r="R126" s="3">
        <v>40.2200913</v>
      </c>
      <c r="S126" s="2">
        <v>0</v>
      </c>
      <c r="T126" s="2">
        <v>0</v>
      </c>
      <c r="U126" s="2">
        <v>0</v>
      </c>
    </row>
    <row r="127" spans="1:21" x14ac:dyDescent="0.3">
      <c r="A127" s="5" t="s">
        <v>16</v>
      </c>
      <c r="B127" s="5">
        <v>2007</v>
      </c>
      <c r="C127" s="5" t="s">
        <v>17</v>
      </c>
      <c r="D127" s="9">
        <v>2259.560731</v>
      </c>
      <c r="E127" s="7">
        <f t="shared" si="1"/>
        <v>1986604162.8450811</v>
      </c>
      <c r="F127" s="7">
        <v>209401568.9041411</v>
      </c>
      <c r="G127" s="7">
        <v>0</v>
      </c>
      <c r="H127" s="7">
        <v>0</v>
      </c>
      <c r="I127" s="7">
        <v>209401568.9041411</v>
      </c>
      <c r="J127" s="6">
        <v>4.3275890097287117</v>
      </c>
      <c r="K127" s="7">
        <v>2817.7222811837978</v>
      </c>
      <c r="L127" s="7">
        <v>18049896</v>
      </c>
      <c r="M127" s="6">
        <v>31.105832100000001</v>
      </c>
      <c r="N127" s="6">
        <v>32.779609800000003</v>
      </c>
      <c r="O127" s="6">
        <v>60.024256899999997</v>
      </c>
      <c r="P127" s="6">
        <v>43.634339999999987</v>
      </c>
      <c r="Q127" s="6">
        <v>38.310653799999997</v>
      </c>
      <c r="R127" s="6">
        <v>40.613055500000002</v>
      </c>
      <c r="S127" s="5">
        <v>0</v>
      </c>
      <c r="T127" s="5">
        <v>0</v>
      </c>
      <c r="U127" s="5">
        <v>0</v>
      </c>
    </row>
    <row r="128" spans="1:21" x14ac:dyDescent="0.3">
      <c r="A128" s="2" t="s">
        <v>16</v>
      </c>
      <c r="B128" s="2">
        <v>2008</v>
      </c>
      <c r="C128" s="2" t="s">
        <v>17</v>
      </c>
      <c r="D128" s="8">
        <v>1198.310845</v>
      </c>
      <c r="E128" s="4">
        <f t="shared" si="1"/>
        <v>1053554029.506369</v>
      </c>
      <c r="F128" s="4">
        <v>37404106.595419802</v>
      </c>
      <c r="G128" s="4"/>
      <c r="H128" s="4"/>
      <c r="I128" s="4">
        <v>37404106.595419802</v>
      </c>
      <c r="J128" s="3">
        <v>2.8476778892105021</v>
      </c>
      <c r="K128" s="4">
        <v>2870.441068666054</v>
      </c>
      <c r="L128" s="4">
        <v>18574056</v>
      </c>
      <c r="M128" s="3">
        <v>32.314395400000002</v>
      </c>
      <c r="N128" s="3">
        <v>33.944088800000003</v>
      </c>
      <c r="O128" s="3">
        <v>55.783573699999998</v>
      </c>
      <c r="P128" s="3">
        <v>43.685903099999997</v>
      </c>
      <c r="Q128" s="3">
        <v>39.323123299999999</v>
      </c>
      <c r="R128" s="3">
        <v>40.326021699999998</v>
      </c>
      <c r="S128" s="2">
        <v>0</v>
      </c>
      <c r="T128" s="2">
        <v>0</v>
      </c>
      <c r="U128" s="2">
        <v>0</v>
      </c>
    </row>
    <row r="129" spans="1:21" x14ac:dyDescent="0.3">
      <c r="A129" s="5" t="s">
        <v>16</v>
      </c>
      <c r="B129" s="5">
        <v>2009</v>
      </c>
      <c r="C129" s="5" t="s">
        <v>17</v>
      </c>
      <c r="D129" s="9">
        <v>839.98453199999994</v>
      </c>
      <c r="E129" s="7">
        <f t="shared" si="1"/>
        <v>738513793.89929628</v>
      </c>
      <c r="F129" s="7">
        <v>95864087.915829554</v>
      </c>
      <c r="G129" s="7">
        <v>224069859.0016329</v>
      </c>
      <c r="H129" s="7"/>
      <c r="I129" s="7">
        <v>319933946.91746241</v>
      </c>
      <c r="J129" s="6">
        <v>2.5792517773875399</v>
      </c>
      <c r="K129" s="7">
        <v>2878.9514388613779</v>
      </c>
      <c r="L129" s="7">
        <v>19113974</v>
      </c>
      <c r="M129" s="6">
        <v>31.9292759</v>
      </c>
      <c r="N129" s="6">
        <v>35.215890999999999</v>
      </c>
      <c r="O129" s="6">
        <v>58.223716099999997</v>
      </c>
      <c r="P129" s="6">
        <v>43.2317082</v>
      </c>
      <c r="Q129" s="6">
        <v>38.8683081</v>
      </c>
      <c r="R129" s="6">
        <v>39.398106200000001</v>
      </c>
      <c r="S129" s="5">
        <v>0</v>
      </c>
      <c r="T129" s="5">
        <v>0</v>
      </c>
      <c r="U129" s="5">
        <v>0</v>
      </c>
    </row>
    <row r="130" spans="1:21" x14ac:dyDescent="0.3">
      <c r="A130" s="2" t="s">
        <v>16</v>
      </c>
      <c r="B130" s="2">
        <v>2010</v>
      </c>
      <c r="C130" s="2" t="s">
        <v>17</v>
      </c>
      <c r="D130" s="8">
        <v>694.57586000000003</v>
      </c>
      <c r="E130" s="4">
        <f t="shared" si="1"/>
        <v>610670594.49074054</v>
      </c>
      <c r="F130" s="4">
        <v>85796923.066705257</v>
      </c>
      <c r="G130" s="4">
        <v>63832148.928519502</v>
      </c>
      <c r="H130" s="4">
        <v>2785453.8715924802</v>
      </c>
      <c r="I130" s="4">
        <v>152414525.8668173</v>
      </c>
      <c r="J130" s="3">
        <v>2.8990247212201439</v>
      </c>
      <c r="K130" s="4">
        <v>2913.9429275560551</v>
      </c>
      <c r="L130" s="4">
        <v>19668066</v>
      </c>
      <c r="M130" s="3">
        <v>29.15353</v>
      </c>
      <c r="N130" s="3">
        <v>35.4148073</v>
      </c>
      <c r="O130" s="3">
        <v>54.526111699999987</v>
      </c>
      <c r="P130" s="3">
        <v>43.030045399999999</v>
      </c>
      <c r="Q130" s="3">
        <v>39.563118000000003</v>
      </c>
      <c r="R130" s="3">
        <v>38.801084099999997</v>
      </c>
      <c r="S130" s="2">
        <v>0</v>
      </c>
      <c r="T130" s="2">
        <v>0</v>
      </c>
      <c r="U130" s="2">
        <v>0</v>
      </c>
    </row>
    <row r="131" spans="1:21" x14ac:dyDescent="0.3">
      <c r="A131" s="5" t="s">
        <v>16</v>
      </c>
      <c r="B131" s="5">
        <v>2011</v>
      </c>
      <c r="C131" s="5" t="s">
        <v>17</v>
      </c>
      <c r="D131" s="9">
        <v>707.10885499999995</v>
      </c>
      <c r="E131" s="7">
        <f t="shared" ref="E131:E194" si="2">(D131*0.879199277802054)*1000000</f>
        <v>621689594.64343727</v>
      </c>
      <c r="F131" s="7">
        <v>189203302.77050301</v>
      </c>
      <c r="G131" s="7">
        <v>520239316.70736003</v>
      </c>
      <c r="H131" s="7"/>
      <c r="I131" s="7">
        <v>709442619.47786307</v>
      </c>
      <c r="J131" s="6">
        <v>3.3792112850604501</v>
      </c>
      <c r="K131" s="7">
        <v>2988.8172872550999</v>
      </c>
      <c r="L131" s="7">
        <v>20232304</v>
      </c>
      <c r="M131" s="6">
        <v>26.647364899999999</v>
      </c>
      <c r="N131" s="6">
        <v>34.965302299999998</v>
      </c>
      <c r="O131" s="6">
        <v>53.201973299999999</v>
      </c>
      <c r="P131" s="6">
        <v>42.010164400000001</v>
      </c>
      <c r="Q131" s="6">
        <v>38.805976100000002</v>
      </c>
      <c r="R131" s="6">
        <v>39.006101200000003</v>
      </c>
      <c r="S131" s="5">
        <v>0</v>
      </c>
      <c r="T131" s="5">
        <v>0</v>
      </c>
      <c r="U131" s="5">
        <v>0</v>
      </c>
    </row>
    <row r="132" spans="1:21" x14ac:dyDescent="0.3">
      <c r="A132" s="2" t="s">
        <v>16</v>
      </c>
      <c r="B132" s="2">
        <v>2012</v>
      </c>
      <c r="C132" s="2" t="s">
        <v>17</v>
      </c>
      <c r="D132" s="8">
        <v>740.424441</v>
      </c>
      <c r="E132" s="4">
        <f t="shared" si="2"/>
        <v>650980633.79418957</v>
      </c>
      <c r="F132" s="4">
        <v>59490773.514327787</v>
      </c>
      <c r="G132" s="4">
        <v>764471848.56551695</v>
      </c>
      <c r="H132" s="4"/>
      <c r="I132" s="4">
        <v>823962622.07984471</v>
      </c>
      <c r="J132" s="3">
        <v>4.6259787220957094</v>
      </c>
      <c r="K132" s="4">
        <v>3059.642265682508</v>
      </c>
      <c r="L132" s="4">
        <v>20809529</v>
      </c>
      <c r="M132" s="3">
        <v>22.875348800000001</v>
      </c>
      <c r="N132" s="3">
        <v>35.151043299999998</v>
      </c>
      <c r="O132" s="3">
        <v>52.250605</v>
      </c>
      <c r="P132" s="3">
        <v>40.616317799999997</v>
      </c>
      <c r="Q132" s="3">
        <v>37.937987</v>
      </c>
      <c r="R132" s="3">
        <v>37.773325700000001</v>
      </c>
      <c r="S132" s="2">
        <v>0</v>
      </c>
      <c r="T132" s="2">
        <v>0</v>
      </c>
      <c r="U132" s="2">
        <v>0</v>
      </c>
    </row>
    <row r="133" spans="1:21" x14ac:dyDescent="0.3">
      <c r="A133" s="5" t="s">
        <v>16</v>
      </c>
      <c r="B133" s="5">
        <v>2013</v>
      </c>
      <c r="C133" s="5" t="s">
        <v>17</v>
      </c>
      <c r="D133" s="9">
        <v>817.72919999999999</v>
      </c>
      <c r="E133" s="7">
        <f t="shared" si="2"/>
        <v>718946922.07765138</v>
      </c>
      <c r="F133" s="7">
        <v>338208060.96425289</v>
      </c>
      <c r="G133" s="7">
        <v>786372349.42102599</v>
      </c>
      <c r="H133" s="7"/>
      <c r="I133" s="7">
        <v>1124580410.3852789</v>
      </c>
      <c r="J133" s="6">
        <v>4.9955291613078288</v>
      </c>
      <c r="K133" s="7">
        <v>3238.8682984373249</v>
      </c>
      <c r="L133" s="7">
        <v>21402376</v>
      </c>
      <c r="M133" s="6">
        <v>24.182830500000001</v>
      </c>
      <c r="N133" s="6">
        <v>35.881424799999998</v>
      </c>
      <c r="O133" s="6">
        <v>51.693874699999988</v>
      </c>
      <c r="P133" s="6">
        <v>40.372602000000001</v>
      </c>
      <c r="Q133" s="6">
        <v>36.835717199999998</v>
      </c>
      <c r="R133" s="6">
        <v>38.016785300000002</v>
      </c>
      <c r="S133" s="5">
        <v>0</v>
      </c>
      <c r="T133" s="5">
        <v>0</v>
      </c>
      <c r="U133" s="5">
        <v>0</v>
      </c>
    </row>
    <row r="134" spans="1:21" x14ac:dyDescent="0.3">
      <c r="A134" s="2" t="s">
        <v>16</v>
      </c>
      <c r="B134" s="2">
        <v>2014</v>
      </c>
      <c r="C134" s="2" t="s">
        <v>17</v>
      </c>
      <c r="D134" s="8">
        <v>970.47432900000001</v>
      </c>
      <c r="E134" s="4">
        <f t="shared" si="2"/>
        <v>853240329.18223298</v>
      </c>
      <c r="F134" s="4">
        <v>1791.36490169425</v>
      </c>
      <c r="G134" s="4">
        <v>427127092.23645002</v>
      </c>
      <c r="H134" s="4"/>
      <c r="I134" s="4">
        <v>427128883.60135168</v>
      </c>
      <c r="J134" s="3">
        <v>5.7198181450919776</v>
      </c>
      <c r="K134" s="4">
        <v>3422.2612815834382</v>
      </c>
      <c r="L134" s="4">
        <v>22059893</v>
      </c>
      <c r="M134" s="3">
        <v>23.968573899999999</v>
      </c>
      <c r="N134" s="3">
        <v>40.157549799999998</v>
      </c>
      <c r="O134" s="3">
        <v>50.150304400000003</v>
      </c>
      <c r="P134" s="3">
        <v>42.1138993</v>
      </c>
      <c r="Q134" s="3">
        <v>38.784182199999996</v>
      </c>
      <c r="R134" s="3">
        <v>39.988591199999988</v>
      </c>
      <c r="S134" s="2">
        <v>0</v>
      </c>
      <c r="T134" s="2">
        <v>0</v>
      </c>
      <c r="U134" s="2">
        <v>0</v>
      </c>
    </row>
    <row r="135" spans="1:21" x14ac:dyDescent="0.3">
      <c r="A135" s="5" t="s">
        <v>16</v>
      </c>
      <c r="B135" s="5">
        <v>2015</v>
      </c>
      <c r="C135" s="5" t="s">
        <v>17</v>
      </c>
      <c r="D135" s="9">
        <v>864.48588400000006</v>
      </c>
      <c r="E135" s="7">
        <f t="shared" si="2"/>
        <v>760055364.8828702</v>
      </c>
      <c r="F135" s="7">
        <v>109005458.9734976</v>
      </c>
      <c r="G135" s="7">
        <v>2183411792.8903131</v>
      </c>
      <c r="H135" s="7"/>
      <c r="I135" s="7">
        <v>2292417251.863811</v>
      </c>
      <c r="J135" s="6">
        <v>5.6669529870393234</v>
      </c>
      <c r="K135" s="7">
        <v>3497.6606756395859</v>
      </c>
      <c r="L135" s="7">
        <v>22763414</v>
      </c>
      <c r="M135" s="6">
        <v>25.6845763</v>
      </c>
      <c r="N135" s="6">
        <v>39.154467799999999</v>
      </c>
      <c r="O135" s="6">
        <v>47.393050600000002</v>
      </c>
      <c r="P135" s="6">
        <v>42.897229499999987</v>
      </c>
      <c r="Q135" s="6">
        <v>38.203818400000003</v>
      </c>
      <c r="R135" s="6">
        <v>39.702145399999999</v>
      </c>
      <c r="S135" s="5">
        <v>1</v>
      </c>
      <c r="T135" s="5">
        <v>1</v>
      </c>
      <c r="U135" s="5">
        <v>0</v>
      </c>
    </row>
    <row r="136" spans="1:21" x14ac:dyDescent="0.3">
      <c r="A136" s="2" t="s">
        <v>16</v>
      </c>
      <c r="B136" s="2">
        <v>2016</v>
      </c>
      <c r="C136" s="2" t="s">
        <v>17</v>
      </c>
      <c r="D136" s="8">
        <v>1005.835672</v>
      </c>
      <c r="E136" s="4">
        <f t="shared" si="2"/>
        <v>884329996.4099437</v>
      </c>
      <c r="F136" s="4">
        <v>530299456.40582788</v>
      </c>
      <c r="G136" s="4">
        <v>543750989.23691595</v>
      </c>
      <c r="H136" s="4"/>
      <c r="I136" s="4">
        <v>1074050445.6427441</v>
      </c>
      <c r="J136" s="3">
        <v>4.5357942367880071</v>
      </c>
      <c r="K136" s="4">
        <v>3626.9993202857818</v>
      </c>
      <c r="L136" s="4">
        <v>23454161</v>
      </c>
      <c r="M136" s="3">
        <v>24.968374099999998</v>
      </c>
      <c r="N136" s="3">
        <v>39.431053200000001</v>
      </c>
      <c r="O136" s="3">
        <v>46.3802722</v>
      </c>
      <c r="P136" s="3">
        <v>43.608631000000003</v>
      </c>
      <c r="Q136" s="3">
        <v>38.2306034</v>
      </c>
      <c r="R136" s="3">
        <v>38.289815300000001</v>
      </c>
      <c r="S136" s="2">
        <v>1</v>
      </c>
      <c r="T136" s="2">
        <v>1</v>
      </c>
      <c r="U136" s="2">
        <v>0</v>
      </c>
    </row>
    <row r="137" spans="1:21" x14ac:dyDescent="0.3">
      <c r="A137" s="5" t="s">
        <v>16</v>
      </c>
      <c r="B137" s="5">
        <v>2017</v>
      </c>
      <c r="C137" s="5" t="s">
        <v>17</v>
      </c>
      <c r="D137" s="9">
        <v>1538.044167</v>
      </c>
      <c r="E137" s="7">
        <f t="shared" si="2"/>
        <v>1352247320.8540616</v>
      </c>
      <c r="F137" s="7">
        <v>188187503.2784628</v>
      </c>
      <c r="G137" s="7">
        <v>909966667.33855999</v>
      </c>
      <c r="H137" s="7">
        <v>36834186.4614719</v>
      </c>
      <c r="I137" s="7">
        <v>1134988357.078495</v>
      </c>
      <c r="J137" s="6">
        <v>3.5411765492600722</v>
      </c>
      <c r="K137" s="7">
        <v>3767.430728838242</v>
      </c>
      <c r="L137" s="7">
        <v>24128601</v>
      </c>
      <c r="M137" s="6">
        <v>24.415245899999999</v>
      </c>
      <c r="N137" s="6">
        <v>39.186021599999997</v>
      </c>
      <c r="O137" s="6">
        <v>45.508335099999996</v>
      </c>
      <c r="P137" s="6">
        <v>42.389230499999996</v>
      </c>
      <c r="Q137" s="6">
        <v>37.717862099999998</v>
      </c>
      <c r="R137" s="6">
        <v>37.574164799999998</v>
      </c>
      <c r="S137" s="5">
        <v>1</v>
      </c>
      <c r="T137" s="5">
        <v>1</v>
      </c>
      <c r="U137" s="5">
        <v>0</v>
      </c>
    </row>
    <row r="138" spans="1:21" x14ac:dyDescent="0.3">
      <c r="A138" s="2" t="s">
        <v>16</v>
      </c>
      <c r="B138" s="2">
        <v>2018</v>
      </c>
      <c r="C138" s="2" t="s">
        <v>17</v>
      </c>
      <c r="D138" s="8">
        <v>1408.0750780000001</v>
      </c>
      <c r="E138" s="4">
        <f t="shared" si="2"/>
        <v>1237978591.6686709</v>
      </c>
      <c r="F138" s="4">
        <v>175928447.38731691</v>
      </c>
      <c r="G138" s="4">
        <v>89641000.08462441</v>
      </c>
      <c r="H138" s="4"/>
      <c r="I138" s="4">
        <v>265569447.47194129</v>
      </c>
      <c r="J138" s="3">
        <v>3.955514238920486</v>
      </c>
      <c r="K138" s="4">
        <v>4010.763600695263</v>
      </c>
      <c r="L138" s="4">
        <v>24806383</v>
      </c>
      <c r="M138" s="3">
        <v>25.259959500000001</v>
      </c>
      <c r="N138" s="3">
        <v>38.157016800000001</v>
      </c>
      <c r="O138" s="3">
        <v>40.799390500000001</v>
      </c>
      <c r="P138" s="3">
        <v>42.646225800000003</v>
      </c>
      <c r="Q138" s="3">
        <v>37.3033286</v>
      </c>
      <c r="R138" s="3">
        <v>35.480683399999997</v>
      </c>
      <c r="S138" s="2">
        <v>1</v>
      </c>
      <c r="T138" s="2">
        <v>1</v>
      </c>
      <c r="U138" s="2">
        <v>0</v>
      </c>
    </row>
    <row r="139" spans="1:21" x14ac:dyDescent="0.3">
      <c r="A139" s="5" t="s">
        <v>16</v>
      </c>
      <c r="B139" s="5">
        <v>2019</v>
      </c>
      <c r="C139" s="5" t="s">
        <v>17</v>
      </c>
      <c r="D139" s="9">
        <v>1613.7705089999999</v>
      </c>
      <c r="E139" s="7">
        <f t="shared" si="2"/>
        <v>1418825866.051053</v>
      </c>
      <c r="F139" s="7">
        <v>0</v>
      </c>
      <c r="G139" s="7">
        <v>113396087.1576767</v>
      </c>
      <c r="H139" s="7"/>
      <c r="I139" s="7">
        <v>113396087.1576767</v>
      </c>
      <c r="J139" s="6">
        <v>3.475059981949812</v>
      </c>
      <c r="K139" s="7">
        <v>4241.111749205922</v>
      </c>
      <c r="L139" s="7">
        <v>25506095</v>
      </c>
      <c r="M139" s="6">
        <v>24.9071192</v>
      </c>
      <c r="N139" s="6">
        <v>36.9914062</v>
      </c>
      <c r="O139" s="6">
        <v>38.268780499999998</v>
      </c>
      <c r="P139" s="6">
        <v>42.668141800000001</v>
      </c>
      <c r="Q139" s="6">
        <v>36.497007099999998</v>
      </c>
      <c r="R139" s="6">
        <v>34.926309500000002</v>
      </c>
      <c r="S139" s="5">
        <v>1</v>
      </c>
      <c r="T139" s="5">
        <v>1</v>
      </c>
      <c r="U139" s="5">
        <v>0</v>
      </c>
    </row>
    <row r="140" spans="1:21" x14ac:dyDescent="0.3">
      <c r="A140" s="2" t="s">
        <v>16</v>
      </c>
      <c r="B140" s="2">
        <v>2020</v>
      </c>
      <c r="C140" s="2" t="s">
        <v>17</v>
      </c>
      <c r="D140" s="8">
        <v>1662.0795129999999</v>
      </c>
      <c r="E140" s="4">
        <f t="shared" si="2"/>
        <v>1461299107.4791896</v>
      </c>
      <c r="F140" s="4">
        <v>7302607.256659288</v>
      </c>
      <c r="G140" s="4">
        <v>0</v>
      </c>
      <c r="H140" s="4">
        <v>0</v>
      </c>
      <c r="I140" s="4">
        <v>7302607.256659288</v>
      </c>
      <c r="J140" s="3">
        <v>0.25993291590711459</v>
      </c>
      <c r="K140" s="4">
        <v>4365.4470412839237</v>
      </c>
      <c r="L140" s="4">
        <v>26210558</v>
      </c>
      <c r="M140" s="3">
        <v>26.445234899999999</v>
      </c>
      <c r="N140" s="3">
        <v>35.257522600000001</v>
      </c>
      <c r="O140" s="3">
        <v>38.195225399999998</v>
      </c>
      <c r="P140" s="3">
        <v>43.093435499999998</v>
      </c>
      <c r="Q140" s="3">
        <v>35.8427577</v>
      </c>
      <c r="R140" s="3">
        <v>35.840928300000002</v>
      </c>
      <c r="S140" s="2">
        <v>1</v>
      </c>
      <c r="T140" s="2">
        <v>1</v>
      </c>
      <c r="U140" s="2">
        <v>0</v>
      </c>
    </row>
    <row r="141" spans="1:21" x14ac:dyDescent="0.3">
      <c r="A141" s="5" t="s">
        <v>16</v>
      </c>
      <c r="B141" s="5">
        <v>2021</v>
      </c>
      <c r="C141" s="5" t="s">
        <v>17</v>
      </c>
      <c r="D141" s="9">
        <v>1303.0758020000001</v>
      </c>
      <c r="E141" s="7">
        <f t="shared" si="2"/>
        <v>1145663304.0397325</v>
      </c>
      <c r="F141" s="7">
        <v>118229274.9658002</v>
      </c>
      <c r="G141" s="7"/>
      <c r="H141" s="7">
        <v>0</v>
      </c>
      <c r="I141" s="7">
        <v>118229274.9658002</v>
      </c>
      <c r="J141" s="6">
        <v>3.3388574717950519</v>
      </c>
      <c r="K141" s="7">
        <v>4793.5562820019559</v>
      </c>
      <c r="L141" s="7">
        <v>26915758</v>
      </c>
      <c r="M141" s="6">
        <v>25.272420199999999</v>
      </c>
      <c r="N141" s="6">
        <v>36.024213899999999</v>
      </c>
      <c r="O141" s="6">
        <v>38.927961199999999</v>
      </c>
      <c r="P141" s="6">
        <v>41.981958800000001</v>
      </c>
      <c r="Q141" s="6">
        <v>35.977058</v>
      </c>
      <c r="R141" s="6">
        <v>35.059913000000002</v>
      </c>
      <c r="S141" s="5">
        <v>1</v>
      </c>
      <c r="T141" s="5">
        <v>1</v>
      </c>
      <c r="U141" s="5">
        <v>0</v>
      </c>
    </row>
    <row r="142" spans="1:21" x14ac:dyDescent="0.3">
      <c r="A142" s="5" t="s">
        <v>18</v>
      </c>
      <c r="B142" s="5">
        <v>2002</v>
      </c>
      <c r="C142" s="5" t="s">
        <v>19</v>
      </c>
      <c r="D142" s="9">
        <v>72.228347999999997</v>
      </c>
      <c r="E142" s="7">
        <f t="shared" si="2"/>
        <v>63503111.398435429</v>
      </c>
      <c r="F142" s="7">
        <v>34968734.279416062</v>
      </c>
      <c r="G142" s="7"/>
      <c r="H142" s="7"/>
      <c r="I142" s="7">
        <v>34968734.279416062</v>
      </c>
      <c r="J142" s="6">
        <v>3.6165421915059568</v>
      </c>
      <c r="K142" s="7">
        <v>688.18045108871968</v>
      </c>
      <c r="L142" s="7">
        <v>4006077</v>
      </c>
      <c r="M142" s="6">
        <v>28.115683799999999</v>
      </c>
      <c r="N142" s="6">
        <v>17.751147799999998</v>
      </c>
      <c r="O142" s="6">
        <v>32.427553000000003</v>
      </c>
      <c r="P142" s="6">
        <v>32.557150200000002</v>
      </c>
      <c r="Q142" s="6">
        <v>41.1668819</v>
      </c>
      <c r="R142" s="6">
        <v>37.372112600000001</v>
      </c>
      <c r="S142" s="5">
        <v>1</v>
      </c>
      <c r="T142" s="5">
        <v>1</v>
      </c>
      <c r="U142" s="5">
        <v>0</v>
      </c>
    </row>
    <row r="143" spans="1:21" x14ac:dyDescent="0.3">
      <c r="A143" s="2" t="s">
        <v>18</v>
      </c>
      <c r="B143" s="2">
        <v>2003</v>
      </c>
      <c r="C143" s="2" t="s">
        <v>19</v>
      </c>
      <c r="D143" s="8">
        <v>64.617560999999995</v>
      </c>
      <c r="E143" s="4">
        <f t="shared" si="2"/>
        <v>56811712.964530163</v>
      </c>
      <c r="F143" s="4">
        <v>5110653.2994433567</v>
      </c>
      <c r="G143" s="4"/>
      <c r="H143" s="4"/>
      <c r="I143" s="4">
        <v>5110653.2994433567</v>
      </c>
      <c r="J143" s="3">
        <v>-5.3974852185587707</v>
      </c>
      <c r="K143" s="4">
        <v>648.19321539733096</v>
      </c>
      <c r="L143" s="4">
        <v>4103086</v>
      </c>
      <c r="M143" s="3">
        <v>24.7238422</v>
      </c>
      <c r="N143" s="3">
        <v>17.571393700000002</v>
      </c>
      <c r="O143" s="3">
        <v>35.475639899999997</v>
      </c>
      <c r="P143" s="3">
        <v>30.280570900000001</v>
      </c>
      <c r="Q143" s="3">
        <v>31.706738300000001</v>
      </c>
      <c r="R143" s="3">
        <v>31.611576199999998</v>
      </c>
      <c r="S143" s="2">
        <v>0</v>
      </c>
      <c r="T143" s="2">
        <v>0</v>
      </c>
      <c r="U143" s="2">
        <v>0</v>
      </c>
    </row>
    <row r="144" spans="1:21" x14ac:dyDescent="0.3">
      <c r="A144" s="5" t="s">
        <v>18</v>
      </c>
      <c r="B144" s="5">
        <v>2004</v>
      </c>
      <c r="C144" s="5" t="s">
        <v>19</v>
      </c>
      <c r="D144" s="9">
        <v>134.555812</v>
      </c>
      <c r="E144" s="7">
        <f t="shared" si="2"/>
        <v>118301372.73446895</v>
      </c>
      <c r="F144" s="7">
        <v>6329161.6990345782</v>
      </c>
      <c r="G144" s="7"/>
      <c r="H144" s="7"/>
      <c r="I144" s="7">
        <v>6329161.6990345782</v>
      </c>
      <c r="J144" s="6">
        <v>5.9948842279869581</v>
      </c>
      <c r="K144" s="7">
        <v>690.42651402775505</v>
      </c>
      <c r="L144" s="7">
        <v>4192826</v>
      </c>
      <c r="M144" s="6">
        <v>21.2684888</v>
      </c>
      <c r="N144" s="6">
        <v>19.144772700000001</v>
      </c>
      <c r="O144" s="6">
        <v>40.146868300000001</v>
      </c>
      <c r="P144" s="6">
        <v>36.434986100000003</v>
      </c>
      <c r="Q144" s="6">
        <v>34.2104292</v>
      </c>
      <c r="R144" s="6">
        <v>37.601010100000003</v>
      </c>
      <c r="S144" s="5">
        <v>0</v>
      </c>
      <c r="T144" s="5">
        <v>0</v>
      </c>
      <c r="U144" s="5">
        <v>0</v>
      </c>
    </row>
    <row r="145" spans="1:21" x14ac:dyDescent="0.3">
      <c r="A145" s="2" t="s">
        <v>18</v>
      </c>
      <c r="B145" s="2">
        <v>2005</v>
      </c>
      <c r="C145" s="2" t="s">
        <v>19</v>
      </c>
      <c r="D145" s="8">
        <v>114.82988899999999</v>
      </c>
      <c r="E145" s="4">
        <f t="shared" si="2"/>
        <v>100958355.47889002</v>
      </c>
      <c r="F145" s="4">
        <v>3178406.2408297001</v>
      </c>
      <c r="G145" s="4">
        <v>137643511.951352</v>
      </c>
      <c r="H145" s="4"/>
      <c r="I145" s="4">
        <v>140821918.19218171</v>
      </c>
      <c r="J145" s="3">
        <v>0.90821051487195348</v>
      </c>
      <c r="K145" s="4">
        <v>702.46062459123209</v>
      </c>
      <c r="L145" s="4">
        <v>4288810</v>
      </c>
      <c r="M145" s="3">
        <v>21.9324233</v>
      </c>
      <c r="N145" s="3">
        <v>17.204626999999999</v>
      </c>
      <c r="O145" s="3">
        <v>41.347168400000001</v>
      </c>
      <c r="P145" s="3">
        <v>33.961435899999998</v>
      </c>
      <c r="Q145" s="3">
        <v>32.8542396</v>
      </c>
      <c r="R145" s="3">
        <v>37.781782900000003</v>
      </c>
      <c r="S145" s="2">
        <v>0</v>
      </c>
      <c r="T145" s="2">
        <v>0</v>
      </c>
      <c r="U145" s="2">
        <v>0</v>
      </c>
    </row>
    <row r="146" spans="1:21" x14ac:dyDescent="0.3">
      <c r="A146" s="5" t="s">
        <v>18</v>
      </c>
      <c r="B146" s="5">
        <v>2006</v>
      </c>
      <c r="C146" s="5" t="s">
        <v>19</v>
      </c>
      <c r="D146" s="9">
        <v>229.66019600000001</v>
      </c>
      <c r="E146" s="7">
        <f t="shared" si="2"/>
        <v>201917078.46307817</v>
      </c>
      <c r="F146" s="7">
        <v>36394153.2915565</v>
      </c>
      <c r="G146" s="7"/>
      <c r="H146" s="7"/>
      <c r="I146" s="7">
        <v>36394153.2915565</v>
      </c>
      <c r="J146" s="6">
        <v>4.7710854304410466</v>
      </c>
      <c r="K146" s="7">
        <v>743.28748020898274</v>
      </c>
      <c r="L146" s="7">
        <v>4377579</v>
      </c>
      <c r="M146" s="6">
        <v>25.170593100000001</v>
      </c>
      <c r="N146" s="6">
        <v>18.8662429</v>
      </c>
      <c r="O146" s="6">
        <v>36.417635500000003</v>
      </c>
      <c r="P146" s="6">
        <v>33.700198100000001</v>
      </c>
      <c r="Q146" s="6">
        <v>31.2419254</v>
      </c>
      <c r="R146" s="6">
        <v>39.046481200000002</v>
      </c>
      <c r="S146" s="5">
        <v>1</v>
      </c>
      <c r="T146" s="5">
        <v>1</v>
      </c>
      <c r="U146" s="5">
        <v>0</v>
      </c>
    </row>
    <row r="147" spans="1:21" x14ac:dyDescent="0.3">
      <c r="A147" s="2" t="s">
        <v>18</v>
      </c>
      <c r="B147" s="2">
        <v>2007</v>
      </c>
      <c r="C147" s="2" t="s">
        <v>19</v>
      </c>
      <c r="D147" s="8">
        <v>248.09663399999999</v>
      </c>
      <c r="E147" s="4">
        <f t="shared" si="2"/>
        <v>218126381.43792051</v>
      </c>
      <c r="F147" s="4">
        <v>39875862.763866931</v>
      </c>
      <c r="G147" s="4"/>
      <c r="H147" s="4"/>
      <c r="I147" s="4">
        <v>39875862.763866931</v>
      </c>
      <c r="J147" s="3">
        <v>4.607534854520253</v>
      </c>
      <c r="K147" s="4">
        <v>783.35544528092839</v>
      </c>
      <c r="L147" s="4">
        <v>4462770</v>
      </c>
      <c r="M147" s="3">
        <v>26.615023000000001</v>
      </c>
      <c r="N147" s="3">
        <v>19.593631999999999</v>
      </c>
      <c r="O147" s="3">
        <v>36.476391100000001</v>
      </c>
      <c r="P147" s="3">
        <v>34.407314499999998</v>
      </c>
      <c r="Q147" s="3">
        <v>31.501524700000001</v>
      </c>
      <c r="R147" s="3">
        <v>39.6973725</v>
      </c>
      <c r="S147" s="2">
        <v>0</v>
      </c>
      <c r="T147" s="2">
        <v>0</v>
      </c>
      <c r="U147" s="2">
        <v>0</v>
      </c>
    </row>
    <row r="148" spans="1:21" x14ac:dyDescent="0.3">
      <c r="A148" s="5" t="s">
        <v>18</v>
      </c>
      <c r="B148" s="5">
        <v>2008</v>
      </c>
      <c r="C148" s="5" t="s">
        <v>19</v>
      </c>
      <c r="D148" s="9">
        <v>302.35061899999999</v>
      </c>
      <c r="E148" s="7">
        <f t="shared" si="2"/>
        <v>265826445.86780396</v>
      </c>
      <c r="F148" s="7">
        <v>14783360.88953393</v>
      </c>
      <c r="G148" s="7"/>
      <c r="H148" s="7">
        <v>0</v>
      </c>
      <c r="I148" s="7">
        <v>14783360.88953393</v>
      </c>
      <c r="J148" s="6">
        <v>2.054130962004848</v>
      </c>
      <c r="K148" s="7">
        <v>797.65280616607731</v>
      </c>
      <c r="L148" s="7">
        <v>4558984</v>
      </c>
      <c r="M148" s="6">
        <v>24.637696300000002</v>
      </c>
      <c r="N148" s="6">
        <v>19.583206199999999</v>
      </c>
      <c r="O148" s="6">
        <v>36.797058799999988</v>
      </c>
      <c r="P148" s="6">
        <v>34.400207899999998</v>
      </c>
      <c r="Q148" s="6">
        <v>32.0486547</v>
      </c>
      <c r="R148" s="6">
        <v>40.492948200000001</v>
      </c>
      <c r="S148" s="5">
        <v>0</v>
      </c>
      <c r="T148" s="5">
        <v>0</v>
      </c>
      <c r="U148" s="5">
        <v>0</v>
      </c>
    </row>
    <row r="149" spans="1:21" x14ac:dyDescent="0.3">
      <c r="A149" s="2" t="s">
        <v>18</v>
      </c>
      <c r="B149" s="2">
        <v>2009</v>
      </c>
      <c r="C149" s="2" t="s">
        <v>19</v>
      </c>
      <c r="D149" s="8">
        <v>639.31300399999998</v>
      </c>
      <c r="E149" s="4">
        <f t="shared" si="2"/>
        <v>562083531.40626156</v>
      </c>
      <c r="F149" s="4">
        <v>10537971.687061889</v>
      </c>
      <c r="G149" s="4"/>
      <c r="H149" s="4"/>
      <c r="I149" s="4">
        <v>10537971.687061889</v>
      </c>
      <c r="J149" s="3">
        <v>8.5872604264099408</v>
      </c>
      <c r="K149" s="4">
        <v>877.25213110487834</v>
      </c>
      <c r="L149" s="4">
        <v>4529047</v>
      </c>
      <c r="M149" s="3">
        <v>25.663409699999999</v>
      </c>
      <c r="N149" s="3">
        <v>21.6953517</v>
      </c>
      <c r="O149" s="3">
        <v>43.162071399999988</v>
      </c>
      <c r="P149" s="3">
        <v>36.395202699999999</v>
      </c>
      <c r="Q149" s="3">
        <v>33.724305999999999</v>
      </c>
      <c r="R149" s="3">
        <v>39.119118299999997</v>
      </c>
      <c r="S149" s="2">
        <v>1</v>
      </c>
      <c r="T149" s="2">
        <v>1</v>
      </c>
      <c r="U149" s="2">
        <v>0</v>
      </c>
    </row>
    <row r="150" spans="1:21" x14ac:dyDescent="0.3">
      <c r="A150" s="5" t="s">
        <v>18</v>
      </c>
      <c r="B150" s="5">
        <v>2010</v>
      </c>
      <c r="C150" s="5" t="s">
        <v>19</v>
      </c>
      <c r="D150" s="9">
        <v>295.79203200000001</v>
      </c>
      <c r="E150" s="7">
        <f t="shared" si="2"/>
        <v>260060140.91400203</v>
      </c>
      <c r="F150" s="7">
        <v>37895679.098173447</v>
      </c>
      <c r="G150" s="7"/>
      <c r="H150" s="7"/>
      <c r="I150" s="7">
        <v>37895679.098173447</v>
      </c>
      <c r="J150" s="6">
        <v>4.6308184322330703</v>
      </c>
      <c r="K150" s="7">
        <v>936.48549737146811</v>
      </c>
      <c r="L150" s="7">
        <v>4492995</v>
      </c>
      <c r="M150" s="6">
        <v>28.021370399999999</v>
      </c>
      <c r="N150" s="6">
        <v>23.9356081</v>
      </c>
      <c r="O150" s="6">
        <v>36.570066599999997</v>
      </c>
      <c r="P150" s="6">
        <v>37.495655200000002</v>
      </c>
      <c r="Q150" s="6">
        <v>34.276489099999999</v>
      </c>
      <c r="R150" s="6">
        <v>37.405552900000004</v>
      </c>
      <c r="S150" s="5">
        <v>1</v>
      </c>
      <c r="T150" s="5">
        <v>1</v>
      </c>
      <c r="U150" s="5">
        <v>0</v>
      </c>
    </row>
    <row r="151" spans="1:21" x14ac:dyDescent="0.3">
      <c r="A151" s="2" t="s">
        <v>18</v>
      </c>
      <c r="B151" s="2">
        <v>2011</v>
      </c>
      <c r="C151" s="2" t="s">
        <v>19</v>
      </c>
      <c r="D151" s="8">
        <v>269.496669</v>
      </c>
      <c r="E151" s="4">
        <f t="shared" si="2"/>
        <v>236941276.75485918</v>
      </c>
      <c r="F151" s="4">
        <v>18248801.972724199</v>
      </c>
      <c r="G151" s="4">
        <v>55836560.232893899</v>
      </c>
      <c r="H151" s="4">
        <v>0</v>
      </c>
      <c r="I151" s="4">
        <v>74085362.205618098</v>
      </c>
      <c r="J151" s="3">
        <v>4.19461533741989</v>
      </c>
      <c r="K151" s="4">
        <v>980.18552095185157</v>
      </c>
      <c r="L151" s="4">
        <v>4565021</v>
      </c>
      <c r="M151" s="3">
        <v>28.011956000000001</v>
      </c>
      <c r="N151" s="3">
        <v>24.037451999999998</v>
      </c>
      <c r="O151" s="3">
        <v>39.102321600000003</v>
      </c>
      <c r="P151" s="3">
        <v>37.263059800000001</v>
      </c>
      <c r="Q151" s="3">
        <v>34.012039700000003</v>
      </c>
      <c r="R151" s="3">
        <v>38.329220499999998</v>
      </c>
      <c r="S151" s="2">
        <v>1</v>
      </c>
      <c r="T151" s="2">
        <v>1</v>
      </c>
      <c r="U151" s="2">
        <v>0</v>
      </c>
    </row>
    <row r="152" spans="1:21" x14ac:dyDescent="0.3">
      <c r="A152" s="5" t="s">
        <v>18</v>
      </c>
      <c r="B152" s="5">
        <v>2012</v>
      </c>
      <c r="C152" s="5" t="s">
        <v>19</v>
      </c>
      <c r="D152" s="9">
        <v>249.310901</v>
      </c>
      <c r="E152" s="7">
        <f t="shared" si="2"/>
        <v>219193964.10737938</v>
      </c>
      <c r="F152" s="7">
        <v>0</v>
      </c>
      <c r="G152" s="7"/>
      <c r="H152" s="7"/>
      <c r="I152" s="7">
        <v>0</v>
      </c>
      <c r="J152" s="6">
        <v>5.0537612535691778</v>
      </c>
      <c r="K152" s="7">
        <v>1062.0680994104889</v>
      </c>
      <c r="L152" s="7">
        <v>4610848</v>
      </c>
      <c r="M152" s="6">
        <v>28.603103999999998</v>
      </c>
      <c r="N152" s="6">
        <v>23.637189100000001</v>
      </c>
      <c r="O152" s="6">
        <v>33.934250899999988</v>
      </c>
      <c r="P152" s="6">
        <v>36.8733906</v>
      </c>
      <c r="Q152" s="6">
        <v>32.381525199999999</v>
      </c>
      <c r="R152" s="6">
        <v>37.868129600000003</v>
      </c>
      <c r="S152" s="5">
        <v>1</v>
      </c>
      <c r="T152" s="5">
        <v>1</v>
      </c>
      <c r="U152" s="5">
        <v>0</v>
      </c>
    </row>
    <row r="153" spans="1:21" x14ac:dyDescent="0.3">
      <c r="A153" s="2" t="s">
        <v>18</v>
      </c>
      <c r="B153" s="2">
        <v>2013</v>
      </c>
      <c r="C153" s="2" t="s">
        <v>19</v>
      </c>
      <c r="D153" s="8">
        <v>220.95772400000001</v>
      </c>
      <c r="E153" s="4">
        <f t="shared" si="2"/>
        <v>194265871.3655856</v>
      </c>
      <c r="F153" s="4">
        <v>0</v>
      </c>
      <c r="G153" s="4"/>
      <c r="H153" s="4"/>
      <c r="I153" s="4">
        <v>0</v>
      </c>
      <c r="J153" s="3">
        <v>-36.391977098388672</v>
      </c>
      <c r="K153" s="4">
        <v>709.85348124544601</v>
      </c>
      <c r="L153" s="4">
        <v>4642419</v>
      </c>
      <c r="M153" s="3">
        <v>24.878898400000001</v>
      </c>
      <c r="N153" s="3">
        <v>21.810499199999999</v>
      </c>
      <c r="O153" s="3">
        <v>29.1833198</v>
      </c>
      <c r="P153" s="3">
        <v>32.528935199999999</v>
      </c>
      <c r="Q153" s="3">
        <v>24.850935499999999</v>
      </c>
      <c r="R153" s="3">
        <v>33.2926517</v>
      </c>
      <c r="S153" s="2">
        <v>1</v>
      </c>
      <c r="T153" s="2">
        <v>1</v>
      </c>
      <c r="U153" s="2">
        <v>0</v>
      </c>
    </row>
    <row r="154" spans="1:21" x14ac:dyDescent="0.3">
      <c r="A154" s="5" t="s">
        <v>18</v>
      </c>
      <c r="B154" s="5">
        <v>2014</v>
      </c>
      <c r="C154" s="5" t="s">
        <v>19</v>
      </c>
      <c r="D154" s="9">
        <v>657.02799800000003</v>
      </c>
      <c r="E154" s="7">
        <f t="shared" si="2"/>
        <v>577658541.33732939</v>
      </c>
      <c r="F154" s="7">
        <v>0</v>
      </c>
      <c r="G154" s="7"/>
      <c r="H154" s="7"/>
      <c r="I154" s="7">
        <v>0</v>
      </c>
      <c r="J154" s="6">
        <v>8.107051532648768E-2</v>
      </c>
      <c r="K154" s="7">
        <v>698.96373892307224</v>
      </c>
      <c r="L154" s="7">
        <v>4623182</v>
      </c>
      <c r="M154" s="6">
        <v>22.5320383</v>
      </c>
      <c r="N154" s="6">
        <v>19.744900699999999</v>
      </c>
      <c r="O154" s="6">
        <v>23.425201099999999</v>
      </c>
      <c r="P154" s="6">
        <v>30.914738100000001</v>
      </c>
      <c r="Q154" s="6">
        <v>25.824930500000001</v>
      </c>
      <c r="R154" s="6">
        <v>36.141834600000003</v>
      </c>
      <c r="S154" s="5">
        <v>1</v>
      </c>
      <c r="T154" s="5">
        <v>1</v>
      </c>
      <c r="U154" s="5">
        <v>0</v>
      </c>
    </row>
    <row r="155" spans="1:21" x14ac:dyDescent="0.3">
      <c r="A155" s="2" t="s">
        <v>18</v>
      </c>
      <c r="B155" s="2">
        <v>2015</v>
      </c>
      <c r="C155" s="2" t="s">
        <v>19</v>
      </c>
      <c r="D155" s="8">
        <v>605.82327399999997</v>
      </c>
      <c r="E155" s="4">
        <f t="shared" si="2"/>
        <v>532639384.97647589</v>
      </c>
      <c r="F155" s="4">
        <v>10006162.8764617</v>
      </c>
      <c r="G155" s="4"/>
      <c r="H155" s="4"/>
      <c r="I155" s="4">
        <v>10006162.8764617</v>
      </c>
      <c r="J155" s="3">
        <v>4.3371210302023124</v>
      </c>
      <c r="K155" s="4">
        <v>768.87088799917353</v>
      </c>
      <c r="L155" s="4">
        <v>4629320</v>
      </c>
      <c r="M155" s="3">
        <v>20.200330900000001</v>
      </c>
      <c r="N155" s="3">
        <v>19.881090499999999</v>
      </c>
      <c r="O155" s="3">
        <v>33.602201700000002</v>
      </c>
      <c r="P155" s="3">
        <v>30.931880100000001</v>
      </c>
      <c r="Q155" s="3">
        <v>27.577730500000001</v>
      </c>
      <c r="R155" s="3">
        <v>36.708752500000003</v>
      </c>
      <c r="S155" s="2">
        <v>1</v>
      </c>
      <c r="T155" s="2">
        <v>1</v>
      </c>
      <c r="U155" s="2">
        <v>0</v>
      </c>
    </row>
    <row r="156" spans="1:21" x14ac:dyDescent="0.3">
      <c r="A156" s="5" t="s">
        <v>18</v>
      </c>
      <c r="B156" s="5">
        <v>2016</v>
      </c>
      <c r="C156" s="5" t="s">
        <v>19</v>
      </c>
      <c r="D156" s="9">
        <v>639.54500299999995</v>
      </c>
      <c r="E156" s="7">
        <f t="shared" si="2"/>
        <v>562287504.75951242</v>
      </c>
      <c r="F156" s="7">
        <v>119471.463718588</v>
      </c>
      <c r="G156" s="7"/>
      <c r="H156" s="7"/>
      <c r="I156" s="7">
        <v>119471.463718588</v>
      </c>
      <c r="J156" s="6">
        <v>4.7503168412234231</v>
      </c>
      <c r="K156" s="7">
        <v>826.01330138316871</v>
      </c>
      <c r="L156" s="7">
        <v>4713663</v>
      </c>
      <c r="M156" s="6">
        <v>21.375149499999999</v>
      </c>
      <c r="N156" s="6">
        <v>20.974118600000001</v>
      </c>
      <c r="O156" s="6">
        <v>36.882473699999998</v>
      </c>
      <c r="P156" s="6">
        <v>32.265924599999998</v>
      </c>
      <c r="Q156" s="6">
        <v>27.897503700000001</v>
      </c>
      <c r="R156" s="6">
        <v>37.930624000000002</v>
      </c>
      <c r="S156" s="5">
        <v>0</v>
      </c>
      <c r="T156" s="5">
        <v>0</v>
      </c>
      <c r="U156" s="5">
        <v>0</v>
      </c>
    </row>
    <row r="157" spans="1:21" x14ac:dyDescent="0.3">
      <c r="A157" s="2" t="s">
        <v>18</v>
      </c>
      <c r="B157" s="2">
        <v>2017</v>
      </c>
      <c r="C157" s="2" t="s">
        <v>19</v>
      </c>
      <c r="D157" s="8">
        <v>630.33277899999996</v>
      </c>
      <c r="E157" s="4">
        <f t="shared" si="2"/>
        <v>554188124.07176161</v>
      </c>
      <c r="F157" s="4">
        <v>3049158.5646933671</v>
      </c>
      <c r="G157" s="4"/>
      <c r="H157" s="4"/>
      <c r="I157" s="4">
        <v>3049158.5646933671</v>
      </c>
      <c r="J157" s="3">
        <v>4.52727821346231</v>
      </c>
      <c r="K157" s="4">
        <v>883.81073487606591</v>
      </c>
      <c r="L157" s="4">
        <v>4793511</v>
      </c>
      <c r="M157" s="3">
        <v>23.953991899999998</v>
      </c>
      <c r="N157" s="3">
        <v>20.950373500000001</v>
      </c>
      <c r="O157" s="3">
        <v>34.694672500000003</v>
      </c>
      <c r="P157" s="3">
        <v>32.502412399999997</v>
      </c>
      <c r="Q157" s="3">
        <v>29.336704000000001</v>
      </c>
      <c r="R157" s="3">
        <v>38.0275721</v>
      </c>
      <c r="S157" s="2">
        <v>1</v>
      </c>
      <c r="T157" s="2">
        <v>1</v>
      </c>
      <c r="U157" s="2">
        <v>0</v>
      </c>
    </row>
    <row r="158" spans="1:21" x14ac:dyDescent="0.3">
      <c r="A158" s="5" t="s">
        <v>18</v>
      </c>
      <c r="B158" s="5">
        <v>2018</v>
      </c>
      <c r="C158" s="5" t="s">
        <v>19</v>
      </c>
      <c r="D158" s="9">
        <v>744.29935399999999</v>
      </c>
      <c r="E158" s="7">
        <f t="shared" si="2"/>
        <v>654387454.50533533</v>
      </c>
      <c r="F158" s="7">
        <v>5583996.6227251263</v>
      </c>
      <c r="G158" s="7">
        <v>2353463.5548936599</v>
      </c>
      <c r="H158" s="7"/>
      <c r="I158" s="7">
        <v>7937460.1776187867</v>
      </c>
      <c r="J158" s="6">
        <v>3.7894435927546231</v>
      </c>
      <c r="K158" s="7">
        <v>905.8177889410938</v>
      </c>
      <c r="L158" s="7">
        <v>4878657</v>
      </c>
      <c r="M158" s="6">
        <v>23.142140399999999</v>
      </c>
      <c r="N158" s="6">
        <v>21.515247599999999</v>
      </c>
      <c r="O158" s="6">
        <v>33.548054700000002</v>
      </c>
      <c r="P158" s="6">
        <v>33.291231000000003</v>
      </c>
      <c r="Q158" s="6">
        <v>30.229810400000002</v>
      </c>
      <c r="R158" s="6">
        <v>39.493631299999997</v>
      </c>
      <c r="S158" s="5">
        <v>1</v>
      </c>
      <c r="T158" s="5">
        <v>1</v>
      </c>
      <c r="U158" s="5">
        <v>0</v>
      </c>
    </row>
    <row r="159" spans="1:21" x14ac:dyDescent="0.3">
      <c r="A159" s="2" t="s">
        <v>18</v>
      </c>
      <c r="B159" s="2">
        <v>2019</v>
      </c>
      <c r="C159" s="2" t="s">
        <v>19</v>
      </c>
      <c r="D159" s="8">
        <v>817.60337500000003</v>
      </c>
      <c r="E159" s="4">
        <f t="shared" si="2"/>
        <v>718836296.82852197</v>
      </c>
      <c r="F159" s="4">
        <v>36392363.826415807</v>
      </c>
      <c r="G159" s="4">
        <v>35696728.508444093</v>
      </c>
      <c r="H159" s="4"/>
      <c r="I159" s="4">
        <v>72089092.334859893</v>
      </c>
      <c r="J159" s="3">
        <v>3.0999999999999939</v>
      </c>
      <c r="K159" s="4">
        <v>984.84318367885692</v>
      </c>
      <c r="L159" s="4">
        <v>4944703</v>
      </c>
      <c r="M159" s="3">
        <v>23.536145900000001</v>
      </c>
      <c r="N159" s="3">
        <v>20.586371799999998</v>
      </c>
      <c r="O159" s="3">
        <v>34.244686799999997</v>
      </c>
      <c r="P159" s="3">
        <v>33.2972289</v>
      </c>
      <c r="Q159" s="3">
        <v>29.703037200000001</v>
      </c>
      <c r="R159" s="3">
        <v>38.782358100000003</v>
      </c>
      <c r="S159" s="2">
        <v>1</v>
      </c>
      <c r="T159" s="2">
        <v>1</v>
      </c>
      <c r="U159" s="2">
        <v>0</v>
      </c>
    </row>
    <row r="160" spans="1:21" x14ac:dyDescent="0.3">
      <c r="A160" s="5" t="s">
        <v>18</v>
      </c>
      <c r="B160" s="5">
        <v>2020</v>
      </c>
      <c r="C160" s="5" t="s">
        <v>19</v>
      </c>
      <c r="D160" s="9">
        <v>948.01956399999995</v>
      </c>
      <c r="E160" s="7">
        <f t="shared" si="2"/>
        <v>833498116.01101804</v>
      </c>
      <c r="F160" s="7">
        <v>3706116.481469295</v>
      </c>
      <c r="G160" s="7">
        <v>0</v>
      </c>
      <c r="H160" s="7"/>
      <c r="I160" s="7">
        <v>3706116.481469295</v>
      </c>
      <c r="J160" s="6">
        <v>0.899999996857062</v>
      </c>
      <c r="K160" s="7">
        <v>1066.290054231509</v>
      </c>
      <c r="L160" s="7">
        <v>5026628</v>
      </c>
      <c r="M160" s="6">
        <v>22.504232500000001</v>
      </c>
      <c r="N160" s="6">
        <v>19.990521399999999</v>
      </c>
      <c r="O160" s="6">
        <v>26.0838429</v>
      </c>
      <c r="P160" s="6">
        <v>33.332405399999999</v>
      </c>
      <c r="Q160" s="6">
        <v>30.075024200000001</v>
      </c>
      <c r="R160" s="6">
        <v>35.389432399999997</v>
      </c>
      <c r="S160" s="5">
        <v>1</v>
      </c>
      <c r="T160" s="5">
        <v>1</v>
      </c>
      <c r="U160" s="5">
        <v>0</v>
      </c>
    </row>
    <row r="161" spans="1:21" x14ac:dyDescent="0.3">
      <c r="A161" s="2" t="s">
        <v>18</v>
      </c>
      <c r="B161" s="2">
        <v>2021</v>
      </c>
      <c r="C161" s="2" t="s">
        <v>19</v>
      </c>
      <c r="D161" s="8">
        <v>702.80257300000005</v>
      </c>
      <c r="E161" s="4">
        <f t="shared" si="2"/>
        <v>617903514.61902535</v>
      </c>
      <c r="F161" s="4">
        <v>2981319.3154563322</v>
      </c>
      <c r="G161" s="4">
        <v>200000000</v>
      </c>
      <c r="H161" s="4"/>
      <c r="I161" s="4">
        <v>202981319.3154563</v>
      </c>
      <c r="J161" s="3">
        <v>0.98291999626422921</v>
      </c>
      <c r="K161" s="4">
        <v>1128.552379964586</v>
      </c>
      <c r="L161" s="4">
        <v>5112100</v>
      </c>
      <c r="M161" s="3">
        <v>21.211442099999999</v>
      </c>
      <c r="N161" s="3">
        <v>20.666446100000002</v>
      </c>
      <c r="O161" s="3">
        <v>28.845590900000001</v>
      </c>
      <c r="P161" s="3">
        <v>32.880771899999999</v>
      </c>
      <c r="Q161" s="3">
        <v>30.3279906</v>
      </c>
      <c r="R161" s="3">
        <v>34.923705200000001</v>
      </c>
      <c r="S161" s="2">
        <v>1</v>
      </c>
      <c r="T161" s="2">
        <v>1</v>
      </c>
      <c r="U161" s="2">
        <v>0</v>
      </c>
    </row>
    <row r="162" spans="1:21" x14ac:dyDescent="0.3">
      <c r="A162" s="2" t="s">
        <v>20</v>
      </c>
      <c r="B162" s="2">
        <v>2002</v>
      </c>
      <c r="C162" s="2" t="s">
        <v>21</v>
      </c>
      <c r="D162" s="8">
        <v>391.26522199999999</v>
      </c>
      <c r="E162" s="4">
        <f t="shared" si="2"/>
        <v>344000100.61146033</v>
      </c>
      <c r="F162" s="4"/>
      <c r="G162" s="4"/>
      <c r="H162" s="4"/>
      <c r="I162" s="4"/>
      <c r="J162" s="3">
        <v>8.4912098192039736</v>
      </c>
      <c r="K162" s="4">
        <v>1225.70701162711</v>
      </c>
      <c r="L162" s="4">
        <v>9116192</v>
      </c>
      <c r="M162" s="3">
        <v>21.350934599999999</v>
      </c>
      <c r="N162" s="3">
        <v>27.973994900000001</v>
      </c>
      <c r="O162" s="3">
        <v>36.198020800000002</v>
      </c>
      <c r="P162" s="3">
        <v>38.429887899999997</v>
      </c>
      <c r="Q162" s="3">
        <v>36.987949299999997</v>
      </c>
      <c r="R162" s="3">
        <v>37.234133499999999</v>
      </c>
      <c r="S162" s="2">
        <v>1</v>
      </c>
      <c r="T162" s="2">
        <v>1</v>
      </c>
      <c r="U162" s="2">
        <v>0</v>
      </c>
    </row>
    <row r="163" spans="1:21" x14ac:dyDescent="0.3">
      <c r="A163" s="5" t="s">
        <v>20</v>
      </c>
      <c r="B163" s="5">
        <v>2003</v>
      </c>
      <c r="C163" s="5" t="s">
        <v>21</v>
      </c>
      <c r="D163" s="9">
        <v>374.68189599999999</v>
      </c>
      <c r="E163" s="7">
        <f t="shared" si="2"/>
        <v>329420052.36870432</v>
      </c>
      <c r="F163" s="7"/>
      <c r="G163" s="7"/>
      <c r="H163" s="7"/>
      <c r="I163" s="7"/>
      <c r="J163" s="6">
        <v>14.721667012889871</v>
      </c>
      <c r="K163" s="7">
        <v>1377.746595667023</v>
      </c>
      <c r="L163" s="7">
        <v>9487833</v>
      </c>
      <c r="M163" s="6">
        <v>17.788473100000001</v>
      </c>
      <c r="N163" s="6">
        <v>20.0635668</v>
      </c>
      <c r="O163" s="6">
        <v>40.418318800000002</v>
      </c>
      <c r="P163" s="6">
        <v>36.3161895</v>
      </c>
      <c r="Q163" s="6">
        <v>31.947710499999999</v>
      </c>
      <c r="R163" s="6">
        <v>35.3012321</v>
      </c>
      <c r="S163" s="5">
        <v>1</v>
      </c>
      <c r="T163" s="5">
        <v>1</v>
      </c>
      <c r="U163" s="5">
        <v>0</v>
      </c>
    </row>
    <row r="164" spans="1:21" x14ac:dyDescent="0.3">
      <c r="A164" s="2" t="s">
        <v>20</v>
      </c>
      <c r="B164" s="2">
        <v>2004</v>
      </c>
      <c r="C164" s="2" t="s">
        <v>21</v>
      </c>
      <c r="D164" s="8">
        <v>425.881956</v>
      </c>
      <c r="E164" s="4">
        <f t="shared" si="2"/>
        <v>374435108.14412612</v>
      </c>
      <c r="F164" s="4"/>
      <c r="G164" s="4"/>
      <c r="H164" s="4"/>
      <c r="I164" s="4"/>
      <c r="J164" s="3">
        <v>33.629371850519618</v>
      </c>
      <c r="K164" s="4">
        <v>1808.2120217652489</v>
      </c>
      <c r="L164" s="4">
        <v>9920036</v>
      </c>
      <c r="M164" s="3">
        <v>21.399805799999999</v>
      </c>
      <c r="N164" s="3">
        <v>26.602608199999999</v>
      </c>
      <c r="O164" s="3">
        <v>40.201170699999999</v>
      </c>
      <c r="P164" s="3">
        <v>39.135215799999997</v>
      </c>
      <c r="Q164" s="3">
        <v>36.392159499999998</v>
      </c>
      <c r="R164" s="3">
        <v>36.036707700000001</v>
      </c>
      <c r="S164" s="2">
        <v>0</v>
      </c>
      <c r="T164" s="2">
        <v>0</v>
      </c>
      <c r="U164" s="2">
        <v>0</v>
      </c>
    </row>
    <row r="165" spans="1:21" x14ac:dyDescent="0.3">
      <c r="A165" s="5" t="s">
        <v>20</v>
      </c>
      <c r="B165" s="5">
        <v>2005</v>
      </c>
      <c r="C165" s="5" t="s">
        <v>21</v>
      </c>
      <c r="D165" s="9">
        <v>511.41999900000002</v>
      </c>
      <c r="E165" s="7">
        <f t="shared" si="2"/>
        <v>449640093.77432716</v>
      </c>
      <c r="F165" s="7"/>
      <c r="G165" s="7"/>
      <c r="H165" s="7"/>
      <c r="I165" s="7"/>
      <c r="J165" s="6">
        <v>17.332533735346559</v>
      </c>
      <c r="K165" s="7">
        <v>2101.6913598214369</v>
      </c>
      <c r="L165" s="7">
        <v>10328092</v>
      </c>
      <c r="M165" s="6">
        <v>18.623086199999999</v>
      </c>
      <c r="N165" s="6">
        <v>24.575607999999999</v>
      </c>
      <c r="O165" s="6">
        <v>40.4208213</v>
      </c>
      <c r="P165" s="6">
        <v>34.808156199999999</v>
      </c>
      <c r="Q165" s="6">
        <v>30.887248899999999</v>
      </c>
      <c r="R165" s="6">
        <v>34.6794072</v>
      </c>
      <c r="S165" s="5">
        <v>1</v>
      </c>
      <c r="T165" s="5">
        <v>1</v>
      </c>
      <c r="U165" s="5">
        <v>0</v>
      </c>
    </row>
    <row r="166" spans="1:21" x14ac:dyDescent="0.3">
      <c r="A166" s="2" t="s">
        <v>20</v>
      </c>
      <c r="B166" s="2">
        <v>2006</v>
      </c>
      <c r="C166" s="2" t="s">
        <v>21</v>
      </c>
      <c r="D166" s="8">
        <v>384.13820099999998</v>
      </c>
      <c r="E166" s="4">
        <f t="shared" si="2"/>
        <v>337734028.8953802</v>
      </c>
      <c r="F166" s="4">
        <v>0</v>
      </c>
      <c r="G166" s="4"/>
      <c r="H166" s="4"/>
      <c r="I166" s="4">
        <v>0</v>
      </c>
      <c r="J166" s="3">
        <v>-0.54282957070441284</v>
      </c>
      <c r="K166" s="4">
        <v>2078.601670393994</v>
      </c>
      <c r="L166" s="4">
        <v>10706424</v>
      </c>
      <c r="M166" s="3">
        <v>21.654992799999999</v>
      </c>
      <c r="N166" s="3">
        <v>23.177007400000001</v>
      </c>
      <c r="O166" s="3">
        <v>35.6711046</v>
      </c>
      <c r="P166" s="3">
        <v>35.870761999999999</v>
      </c>
      <c r="Q166" s="3">
        <v>30.188728399999999</v>
      </c>
      <c r="R166" s="3">
        <v>32.589433200000002</v>
      </c>
      <c r="S166" s="2">
        <v>1</v>
      </c>
      <c r="T166" s="2">
        <v>2</v>
      </c>
      <c r="U166" s="2">
        <v>1</v>
      </c>
    </row>
    <row r="167" spans="1:21" x14ac:dyDescent="0.3">
      <c r="A167" s="5" t="s">
        <v>20</v>
      </c>
      <c r="B167" s="5">
        <v>2007</v>
      </c>
      <c r="C167" s="5" t="s">
        <v>21</v>
      </c>
      <c r="D167" s="9">
        <v>429.21588100000002</v>
      </c>
      <c r="E167" s="7">
        <f t="shared" si="2"/>
        <v>377366292.59637237</v>
      </c>
      <c r="F167" s="7">
        <v>350314953.85441017</v>
      </c>
      <c r="G167" s="7">
        <v>55777195.869406998</v>
      </c>
      <c r="H167" s="7"/>
      <c r="I167" s="7">
        <v>406092149.72381723</v>
      </c>
      <c r="J167" s="6">
        <v>4.2001741820649556</v>
      </c>
      <c r="K167" s="7">
        <v>2149.259860527718</v>
      </c>
      <c r="L167" s="7">
        <v>11081660</v>
      </c>
      <c r="M167" s="6">
        <v>20.050501000000001</v>
      </c>
      <c r="N167" s="6">
        <v>23.4350801</v>
      </c>
      <c r="O167" s="6">
        <v>36.483590999999997</v>
      </c>
      <c r="P167" s="6">
        <v>35.876630499999997</v>
      </c>
      <c r="Q167" s="6">
        <v>30.752203399999999</v>
      </c>
      <c r="R167" s="6">
        <v>32.038143300000002</v>
      </c>
      <c r="S167" s="5">
        <v>1</v>
      </c>
      <c r="T167" s="5">
        <v>1</v>
      </c>
      <c r="U167" s="5">
        <v>0</v>
      </c>
    </row>
    <row r="168" spans="1:21" x14ac:dyDescent="0.3">
      <c r="A168" s="2" t="s">
        <v>20</v>
      </c>
      <c r="B168" s="2">
        <v>2008</v>
      </c>
      <c r="C168" s="2" t="s">
        <v>21</v>
      </c>
      <c r="D168" s="8">
        <v>542.31487600000003</v>
      </c>
      <c r="E168" s="4">
        <f t="shared" si="2"/>
        <v>476802847.32051045</v>
      </c>
      <c r="F168" s="4">
        <v>0</v>
      </c>
      <c r="G168" s="4"/>
      <c r="H168" s="4"/>
      <c r="I168" s="4">
        <v>0</v>
      </c>
      <c r="J168" s="3">
        <v>3.0811903386192512</v>
      </c>
      <c r="K168" s="4">
        <v>2180.5168043321701</v>
      </c>
      <c r="L168" s="4">
        <v>11476296</v>
      </c>
      <c r="M168" s="3">
        <v>16.700559399999999</v>
      </c>
      <c r="N168" s="3">
        <v>22.519519599999999</v>
      </c>
      <c r="O168" s="3">
        <v>34.730988000000004</v>
      </c>
      <c r="P168" s="3">
        <v>35.457916699999998</v>
      </c>
      <c r="Q168" s="3">
        <v>29.989151400000001</v>
      </c>
      <c r="R168" s="3">
        <v>32.655139300000002</v>
      </c>
      <c r="S168" s="2">
        <v>1</v>
      </c>
      <c r="T168" s="2">
        <v>1</v>
      </c>
      <c r="U168" s="2">
        <v>0</v>
      </c>
    </row>
    <row r="169" spans="1:21" x14ac:dyDescent="0.3">
      <c r="A169" s="5" t="s">
        <v>20</v>
      </c>
      <c r="B169" s="5">
        <v>2009</v>
      </c>
      <c r="C169" s="5" t="s">
        <v>21</v>
      </c>
      <c r="D169" s="9">
        <v>670.39131699999996</v>
      </c>
      <c r="E169" s="7">
        <f t="shared" si="2"/>
        <v>589407561.75116777</v>
      </c>
      <c r="F169" s="7">
        <v>44852492.167743303</v>
      </c>
      <c r="G169" s="7"/>
      <c r="H169" s="7"/>
      <c r="I169" s="7">
        <v>44852492.167743303</v>
      </c>
      <c r="J169" s="6">
        <v>-1.4082826267404731</v>
      </c>
      <c r="K169" s="7">
        <v>2087.1471867786749</v>
      </c>
      <c r="L169" s="7">
        <v>11893754</v>
      </c>
      <c r="M169" s="6">
        <v>17.579564300000001</v>
      </c>
      <c r="N169" s="6">
        <v>25.360166400000001</v>
      </c>
      <c r="O169" s="6">
        <v>47.618665999999997</v>
      </c>
      <c r="P169" s="6">
        <v>36.241535499999998</v>
      </c>
      <c r="Q169" s="6">
        <v>30.487304900000002</v>
      </c>
      <c r="R169" s="6">
        <v>33.009165699999997</v>
      </c>
      <c r="S169" s="5">
        <v>1</v>
      </c>
      <c r="T169" s="5">
        <v>1</v>
      </c>
      <c r="U169" s="5">
        <v>0</v>
      </c>
    </row>
    <row r="170" spans="1:21" x14ac:dyDescent="0.3">
      <c r="A170" s="2" t="s">
        <v>20</v>
      </c>
      <c r="B170" s="2">
        <v>2010</v>
      </c>
      <c r="C170" s="2" t="s">
        <v>21</v>
      </c>
      <c r="D170" s="8">
        <v>583.20093699999995</v>
      </c>
      <c r="E170" s="4">
        <f t="shared" si="2"/>
        <v>512749842.62388116</v>
      </c>
      <c r="F170" s="4">
        <v>0</v>
      </c>
      <c r="G170" s="4"/>
      <c r="H170" s="4"/>
      <c r="I170" s="4">
        <v>0</v>
      </c>
      <c r="J170" s="3">
        <v>13.673827274183621</v>
      </c>
      <c r="K170" s="4">
        <v>2319.688831875606</v>
      </c>
      <c r="L170" s="4">
        <v>12312575</v>
      </c>
      <c r="M170" s="3">
        <v>19.608482599999999</v>
      </c>
      <c r="N170" s="3">
        <v>26.123387000000001</v>
      </c>
      <c r="O170" s="3">
        <v>47.279775600000001</v>
      </c>
      <c r="P170" s="3">
        <v>35.827057799999999</v>
      </c>
      <c r="Q170" s="3">
        <v>30.368212</v>
      </c>
      <c r="R170" s="3">
        <v>33.695977300000003</v>
      </c>
      <c r="S170" s="2">
        <v>1</v>
      </c>
      <c r="T170" s="2">
        <v>1</v>
      </c>
      <c r="U170" s="2">
        <v>0</v>
      </c>
    </row>
    <row r="171" spans="1:21" x14ac:dyDescent="0.3">
      <c r="A171" s="5" t="s">
        <v>20</v>
      </c>
      <c r="B171" s="5">
        <v>2011</v>
      </c>
      <c r="C171" s="5" t="s">
        <v>21</v>
      </c>
      <c r="D171" s="9">
        <v>547.11018799999999</v>
      </c>
      <c r="E171" s="7">
        <f t="shared" si="2"/>
        <v>481018882.16774595</v>
      </c>
      <c r="F171" s="7">
        <v>14377168.0144463</v>
      </c>
      <c r="G171" s="7">
        <v>651836496.11087644</v>
      </c>
      <c r="H171" s="7"/>
      <c r="I171" s="7">
        <v>666213664.1253227</v>
      </c>
      <c r="J171" s="6">
        <v>4.4954296694151168</v>
      </c>
      <c r="K171" s="7">
        <v>2388.1651214944068</v>
      </c>
      <c r="L171" s="7">
        <v>12754997</v>
      </c>
      <c r="M171" s="6">
        <v>20.2141336</v>
      </c>
      <c r="N171" s="6">
        <v>27.354337399999999</v>
      </c>
      <c r="O171" s="6">
        <v>46.1936404</v>
      </c>
      <c r="P171" s="6">
        <v>35.9300389</v>
      </c>
      <c r="Q171" s="6">
        <v>30.4622168</v>
      </c>
      <c r="R171" s="6">
        <v>34.687020799999999</v>
      </c>
      <c r="S171" s="5">
        <v>0</v>
      </c>
      <c r="T171" s="5">
        <v>0</v>
      </c>
      <c r="U171" s="5">
        <v>0</v>
      </c>
    </row>
    <row r="172" spans="1:21" x14ac:dyDescent="0.3">
      <c r="A172" s="2" t="s">
        <v>20</v>
      </c>
      <c r="B172" s="2">
        <v>2012</v>
      </c>
      <c r="C172" s="2" t="s">
        <v>21</v>
      </c>
      <c r="D172" s="8">
        <v>585.90759500000001</v>
      </c>
      <c r="E172" s="4">
        <f t="shared" si="2"/>
        <v>515129534.38273835</v>
      </c>
      <c r="F172" s="4">
        <v>234588.20679272601</v>
      </c>
      <c r="G172" s="4"/>
      <c r="H172" s="4"/>
      <c r="I172" s="4">
        <v>234588.20679272601</v>
      </c>
      <c r="J172" s="3">
        <v>9.0618039227670977</v>
      </c>
      <c r="K172" s="4">
        <v>2435.1240819184022</v>
      </c>
      <c r="L172" s="4">
        <v>13210998</v>
      </c>
      <c r="M172" s="3">
        <v>19.993023099999998</v>
      </c>
      <c r="N172" s="3">
        <v>25.7021537</v>
      </c>
      <c r="O172" s="3">
        <v>45.863340299999997</v>
      </c>
      <c r="P172" s="3">
        <v>35.687058</v>
      </c>
      <c r="Q172" s="3">
        <v>30.175934000000002</v>
      </c>
      <c r="R172" s="3">
        <v>35.121287299999999</v>
      </c>
      <c r="S172" s="2">
        <v>0</v>
      </c>
      <c r="T172" s="2">
        <v>0</v>
      </c>
      <c r="U172" s="2">
        <v>0</v>
      </c>
    </row>
    <row r="173" spans="1:21" x14ac:dyDescent="0.3">
      <c r="A173" s="5" t="s">
        <v>20</v>
      </c>
      <c r="B173" s="5">
        <v>2013</v>
      </c>
      <c r="C173" s="5" t="s">
        <v>21</v>
      </c>
      <c r="D173" s="9">
        <v>564.84873900000002</v>
      </c>
      <c r="E173" s="7">
        <f t="shared" si="2"/>
        <v>496614603.3962009</v>
      </c>
      <c r="F173" s="7">
        <v>4963360.8296352681</v>
      </c>
      <c r="G173" s="7">
        <v>0</v>
      </c>
      <c r="H173" s="7"/>
      <c r="I173" s="7">
        <v>4963360.8296352681</v>
      </c>
      <c r="J173" s="6">
        <v>2.8382152476899729</v>
      </c>
      <c r="K173" s="7">
        <v>2110.2470513698809</v>
      </c>
      <c r="L173" s="7">
        <v>13691079</v>
      </c>
      <c r="M173" s="6">
        <v>18.8820038</v>
      </c>
      <c r="N173" s="6">
        <v>26.9706388</v>
      </c>
      <c r="O173" s="6">
        <v>45.582148099999998</v>
      </c>
      <c r="P173" s="6">
        <v>35.552734399999999</v>
      </c>
      <c r="Q173" s="6">
        <v>30.267193800000001</v>
      </c>
      <c r="R173" s="6">
        <v>34.805969400000002</v>
      </c>
      <c r="S173" s="5">
        <v>0</v>
      </c>
      <c r="T173" s="5">
        <v>0</v>
      </c>
      <c r="U173" s="5">
        <v>0</v>
      </c>
    </row>
    <row r="174" spans="1:21" x14ac:dyDescent="0.3">
      <c r="A174" s="2" t="s">
        <v>20</v>
      </c>
      <c r="B174" s="2">
        <v>2014</v>
      </c>
      <c r="C174" s="2" t="s">
        <v>21</v>
      </c>
      <c r="D174" s="8">
        <v>476.567949</v>
      </c>
      <c r="E174" s="4">
        <f t="shared" si="2"/>
        <v>418998196.58440614</v>
      </c>
      <c r="F174" s="4">
        <v>0</v>
      </c>
      <c r="G174" s="4"/>
      <c r="H174" s="4"/>
      <c r="I174" s="4">
        <v>0</v>
      </c>
      <c r="J174" s="3">
        <v>2.0628307434769511</v>
      </c>
      <c r="K174" s="4">
        <v>2133.184411987867</v>
      </c>
      <c r="L174" s="4">
        <v>14188678</v>
      </c>
      <c r="M174" s="3">
        <v>17.943339000000002</v>
      </c>
      <c r="N174" s="3">
        <v>27.0068202</v>
      </c>
      <c r="O174" s="3">
        <v>43.1917592</v>
      </c>
      <c r="P174" s="3">
        <v>36.473769599999997</v>
      </c>
      <c r="Q174" s="3">
        <v>33.339855</v>
      </c>
      <c r="R174" s="3">
        <v>36.331213300000002</v>
      </c>
      <c r="S174" s="2">
        <v>0</v>
      </c>
      <c r="T174" s="2">
        <v>0</v>
      </c>
      <c r="U174" s="2">
        <v>0</v>
      </c>
    </row>
    <row r="175" spans="1:21" x14ac:dyDescent="0.3">
      <c r="A175" s="5" t="s">
        <v>20</v>
      </c>
      <c r="B175" s="5">
        <v>2015</v>
      </c>
      <c r="C175" s="5" t="s">
        <v>21</v>
      </c>
      <c r="D175" s="9">
        <v>1478.467517</v>
      </c>
      <c r="E175" s="7">
        <f t="shared" si="2"/>
        <v>1299867573.200196</v>
      </c>
      <c r="F175" s="7">
        <v>2458636.4230157859</v>
      </c>
      <c r="G175" s="7"/>
      <c r="H175" s="7"/>
      <c r="I175" s="7">
        <v>2458636.4230157859</v>
      </c>
      <c r="J175" s="6">
        <v>3.304159797596355</v>
      </c>
      <c r="K175" s="7">
        <v>2377.511371857513</v>
      </c>
      <c r="L175" s="7">
        <v>14647621</v>
      </c>
      <c r="M175" s="6">
        <v>17.1369811</v>
      </c>
      <c r="N175" s="6">
        <v>27.3784654</v>
      </c>
      <c r="O175" s="6">
        <v>46.715901799999997</v>
      </c>
      <c r="P175" s="6">
        <v>36.725453100000003</v>
      </c>
      <c r="Q175" s="6">
        <v>33.536609499999997</v>
      </c>
      <c r="R175" s="6">
        <v>35.922066399999999</v>
      </c>
      <c r="S175" s="5">
        <v>1</v>
      </c>
      <c r="T175" s="5">
        <v>1</v>
      </c>
      <c r="U175" s="5">
        <v>0</v>
      </c>
    </row>
    <row r="176" spans="1:21" x14ac:dyDescent="0.3">
      <c r="A176" s="2" t="s">
        <v>20</v>
      </c>
      <c r="B176" s="2">
        <v>2016</v>
      </c>
      <c r="C176" s="2" t="s">
        <v>21</v>
      </c>
      <c r="D176" s="8">
        <v>777.39559299999996</v>
      </c>
      <c r="E176" s="4">
        <f t="shared" si="2"/>
        <v>683485643.93209946</v>
      </c>
      <c r="F176" s="4">
        <v>188407.75395452889</v>
      </c>
      <c r="G176" s="4"/>
      <c r="H176" s="4"/>
      <c r="I176" s="4">
        <v>188407.75395452889</v>
      </c>
      <c r="J176" s="3">
        <v>-4.1225033267032254</v>
      </c>
      <c r="K176" s="4">
        <v>2120.087515538572</v>
      </c>
      <c r="L176" s="4">
        <v>15114655</v>
      </c>
      <c r="M176" s="3">
        <v>17.433256400000001</v>
      </c>
      <c r="N176" s="3">
        <v>28.255190500000001</v>
      </c>
      <c r="O176" s="3">
        <v>42.975887100000001</v>
      </c>
      <c r="P176" s="3">
        <v>36.846151800000001</v>
      </c>
      <c r="Q176" s="3">
        <v>32.862022199999998</v>
      </c>
      <c r="R176" s="3">
        <v>34.640208600000001</v>
      </c>
      <c r="S176" s="2">
        <v>0</v>
      </c>
      <c r="T176" s="2">
        <v>0</v>
      </c>
      <c r="U176" s="2">
        <v>0</v>
      </c>
    </row>
    <row r="177" spans="1:21" x14ac:dyDescent="0.3">
      <c r="A177" s="5" t="s">
        <v>20</v>
      </c>
      <c r="B177" s="5">
        <v>2017</v>
      </c>
      <c r="C177" s="5" t="s">
        <v>21</v>
      </c>
      <c r="D177" s="9">
        <v>793.70851400000004</v>
      </c>
      <c r="E177" s="7">
        <f t="shared" si="2"/>
        <v>697827952.29414153</v>
      </c>
      <c r="F177" s="7">
        <v>14980396.04127259</v>
      </c>
      <c r="G177" s="7"/>
      <c r="H177" s="7"/>
      <c r="I177" s="7">
        <v>14980396.04127259</v>
      </c>
      <c r="J177" s="6">
        <v>-1.617469227602911</v>
      </c>
      <c r="K177" s="7">
        <v>2097.1442548360369</v>
      </c>
      <c r="L177" s="7">
        <v>15622759</v>
      </c>
      <c r="M177" s="6">
        <v>18.357624600000001</v>
      </c>
      <c r="N177" s="6">
        <v>29.943695600000002</v>
      </c>
      <c r="O177" s="6">
        <v>42.531616799999988</v>
      </c>
      <c r="P177" s="6">
        <v>37.64593</v>
      </c>
      <c r="Q177" s="6">
        <v>34.271716499999997</v>
      </c>
      <c r="R177" s="6">
        <v>34.634705799999999</v>
      </c>
      <c r="S177" s="5">
        <v>1</v>
      </c>
      <c r="T177" s="5">
        <v>1</v>
      </c>
      <c r="U177" s="5">
        <v>0</v>
      </c>
    </row>
    <row r="178" spans="1:21" x14ac:dyDescent="0.3">
      <c r="A178" s="2" t="s">
        <v>20</v>
      </c>
      <c r="B178" s="2">
        <v>2018</v>
      </c>
      <c r="C178" s="2" t="s">
        <v>21</v>
      </c>
      <c r="D178" s="8">
        <v>1012.603922</v>
      </c>
      <c r="E178" s="4">
        <f t="shared" si="2"/>
        <v>890280636.92192745</v>
      </c>
      <c r="F178" s="4">
        <v>131385241.04674619</v>
      </c>
      <c r="G178" s="4"/>
      <c r="H178" s="4"/>
      <c r="I178" s="4">
        <v>131385241.04674619</v>
      </c>
      <c r="J178" s="3">
        <v>5.7411158075815374</v>
      </c>
      <c r="K178" s="4">
        <v>2227.8133537261151</v>
      </c>
      <c r="L178" s="4">
        <v>16156531</v>
      </c>
      <c r="M178" s="3">
        <v>18.293724099999999</v>
      </c>
      <c r="N178" s="3">
        <v>28.434334100000001</v>
      </c>
      <c r="O178" s="3">
        <v>42.657761000000001</v>
      </c>
      <c r="P178" s="3">
        <v>37.135699299999999</v>
      </c>
      <c r="Q178" s="3">
        <v>33.601962</v>
      </c>
      <c r="R178" s="3">
        <v>33.7352512</v>
      </c>
      <c r="S178" s="2">
        <v>1</v>
      </c>
      <c r="T178" s="2">
        <v>1</v>
      </c>
      <c r="U178" s="2">
        <v>0</v>
      </c>
    </row>
    <row r="179" spans="1:21" x14ac:dyDescent="0.3">
      <c r="A179" s="5" t="s">
        <v>20</v>
      </c>
      <c r="B179" s="5">
        <v>2019</v>
      </c>
      <c r="C179" s="5" t="s">
        <v>21</v>
      </c>
      <c r="D179" s="9">
        <v>793.50617499999998</v>
      </c>
      <c r="E179" s="7">
        <f t="shared" si="2"/>
        <v>697650055.99147022</v>
      </c>
      <c r="F179" s="7">
        <v>243139342.8920683</v>
      </c>
      <c r="G179" s="7">
        <v>65608.344736856001</v>
      </c>
      <c r="H179" s="7"/>
      <c r="I179" s="7">
        <v>243204951.23680511</v>
      </c>
      <c r="J179" s="6">
        <v>5.3828220290378974</v>
      </c>
      <c r="K179" s="7">
        <v>2351.6533976773871</v>
      </c>
      <c r="L179" s="7">
        <v>16685223</v>
      </c>
      <c r="M179" s="6">
        <v>17.937734200000001</v>
      </c>
      <c r="N179" s="6">
        <v>26.796875400000001</v>
      </c>
      <c r="O179" s="6">
        <v>41.0898392</v>
      </c>
      <c r="P179" s="6">
        <v>36.7072687</v>
      </c>
      <c r="Q179" s="6">
        <v>34.226219999999998</v>
      </c>
      <c r="R179" s="6">
        <v>34.062351700000001</v>
      </c>
      <c r="S179" s="5">
        <v>1</v>
      </c>
      <c r="T179" s="5">
        <v>1</v>
      </c>
      <c r="U179" s="5">
        <v>0</v>
      </c>
    </row>
    <row r="180" spans="1:21" x14ac:dyDescent="0.3">
      <c r="A180" s="2" t="s">
        <v>20</v>
      </c>
      <c r="B180" s="2">
        <v>2020</v>
      </c>
      <c r="C180" s="2" t="s">
        <v>21</v>
      </c>
      <c r="D180" s="8">
        <v>1181.6384390000001</v>
      </c>
      <c r="E180" s="4">
        <f t="shared" si="2"/>
        <v>1038895662.1919465</v>
      </c>
      <c r="F180" s="4">
        <v>3534852.050666579</v>
      </c>
      <c r="G180" s="4"/>
      <c r="H180" s="4"/>
      <c r="I180" s="4">
        <v>3534852.050666579</v>
      </c>
      <c r="J180" s="3">
        <v>-0.3936465831110354</v>
      </c>
      <c r="K180" s="4">
        <v>2185.9903417353721</v>
      </c>
      <c r="L180" s="4">
        <v>17224679</v>
      </c>
      <c r="M180" s="3">
        <v>17.852829</v>
      </c>
      <c r="N180" s="3">
        <v>27.4402352</v>
      </c>
      <c r="O180" s="3">
        <v>41.084827500000003</v>
      </c>
      <c r="P180" s="3">
        <v>36.767144899999998</v>
      </c>
      <c r="Q180" s="3">
        <v>34.015397499999999</v>
      </c>
      <c r="R180" s="3">
        <v>33.625255000000003</v>
      </c>
      <c r="S180" s="2">
        <v>1</v>
      </c>
      <c r="T180" s="2">
        <v>1</v>
      </c>
      <c r="U180" s="2">
        <v>0</v>
      </c>
    </row>
    <row r="181" spans="1:21" x14ac:dyDescent="0.3">
      <c r="A181" s="5" t="s">
        <v>20</v>
      </c>
      <c r="B181" s="5">
        <v>2021</v>
      </c>
      <c r="C181" s="5" t="s">
        <v>21</v>
      </c>
      <c r="D181" s="9">
        <v>789.82397300000002</v>
      </c>
      <c r="E181" s="7">
        <f t="shared" si="2"/>
        <v>694412666.652349</v>
      </c>
      <c r="F181" s="7">
        <v>3657706.5262474529</v>
      </c>
      <c r="G181" s="7"/>
      <c r="H181" s="7"/>
      <c r="I181" s="7">
        <v>3657706.5262474529</v>
      </c>
      <c r="J181" s="6">
        <v>0.29344264815208021</v>
      </c>
      <c r="K181" s="7">
        <v>2435.072746510989</v>
      </c>
      <c r="L181" s="7">
        <v>17828273</v>
      </c>
      <c r="M181" s="6">
        <v>17.652832499999999</v>
      </c>
      <c r="N181" s="6">
        <v>27.220965</v>
      </c>
      <c r="O181" s="6">
        <v>37.038907000000002</v>
      </c>
      <c r="P181" s="6">
        <v>37.6904732</v>
      </c>
      <c r="Q181" s="6">
        <v>33.849494900000003</v>
      </c>
      <c r="R181" s="6">
        <v>31.360131899999999</v>
      </c>
      <c r="S181" s="5">
        <v>1</v>
      </c>
      <c r="T181" s="5">
        <v>1</v>
      </c>
      <c r="U181" s="5">
        <v>0</v>
      </c>
    </row>
    <row r="182" spans="1:21" x14ac:dyDescent="0.3">
      <c r="A182" s="5" t="s">
        <v>22</v>
      </c>
      <c r="B182" s="5">
        <v>2002</v>
      </c>
      <c r="C182" s="5" t="s">
        <v>23</v>
      </c>
      <c r="D182" s="9">
        <v>42.347786999999997</v>
      </c>
      <c r="E182" s="7">
        <f t="shared" si="2"/>
        <v>37232143.746915206</v>
      </c>
      <c r="F182" s="7">
        <v>0</v>
      </c>
      <c r="G182" s="7">
        <v>89389.095643788503</v>
      </c>
      <c r="H182" s="7"/>
      <c r="I182" s="7">
        <v>89389.095643788503</v>
      </c>
      <c r="J182" s="6">
        <v>4.5976826326324272</v>
      </c>
      <c r="K182" s="7">
        <v>1911.6125682356669</v>
      </c>
      <c r="L182" s="7">
        <v>558923</v>
      </c>
      <c r="M182" s="6">
        <v>34.695309899999998</v>
      </c>
      <c r="N182" s="6">
        <v>35.874158600000001</v>
      </c>
      <c r="O182" s="6">
        <v>63.1043837</v>
      </c>
      <c r="P182" s="6">
        <v>38.820440300000001</v>
      </c>
      <c r="Q182" s="6">
        <v>41.132938899999999</v>
      </c>
      <c r="R182" s="6">
        <v>48.5107018</v>
      </c>
      <c r="S182" s="5">
        <v>0</v>
      </c>
      <c r="T182" s="5">
        <v>0</v>
      </c>
      <c r="U182" s="5">
        <v>0</v>
      </c>
    </row>
    <row r="183" spans="1:21" x14ac:dyDescent="0.3">
      <c r="A183" s="2" t="s">
        <v>22</v>
      </c>
      <c r="B183" s="2">
        <v>2003</v>
      </c>
      <c r="C183" s="2" t="s">
        <v>23</v>
      </c>
      <c r="D183" s="8">
        <v>34.290038000000003</v>
      </c>
      <c r="E183" s="4">
        <f t="shared" si="2"/>
        <v>30147776.645404987</v>
      </c>
      <c r="F183" s="4">
        <v>0</v>
      </c>
      <c r="G183" s="4"/>
      <c r="H183" s="4"/>
      <c r="I183" s="4">
        <v>0</v>
      </c>
      <c r="J183" s="3">
        <v>1.934428123134978</v>
      </c>
      <c r="K183" s="4">
        <v>1949.1381608127381</v>
      </c>
      <c r="L183" s="4">
        <v>569798</v>
      </c>
      <c r="M183" s="3">
        <v>34.6556426</v>
      </c>
      <c r="N183" s="3">
        <v>25.585168800000002</v>
      </c>
      <c r="O183" s="3">
        <v>49.357443099999998</v>
      </c>
      <c r="P183" s="3">
        <v>33.219854300000002</v>
      </c>
      <c r="Q183" s="3">
        <v>41.348905700000003</v>
      </c>
      <c r="R183" s="3">
        <v>46.954760299999997</v>
      </c>
      <c r="S183" s="2">
        <v>0</v>
      </c>
      <c r="T183" s="2">
        <v>0</v>
      </c>
      <c r="U183" s="2">
        <v>0</v>
      </c>
    </row>
    <row r="184" spans="1:21" x14ac:dyDescent="0.3">
      <c r="A184" s="5" t="s">
        <v>22</v>
      </c>
      <c r="B184" s="5">
        <v>2004</v>
      </c>
      <c r="C184" s="5" t="s">
        <v>23</v>
      </c>
      <c r="D184" s="9">
        <v>31.332139999999999</v>
      </c>
      <c r="E184" s="7">
        <f t="shared" si="2"/>
        <v>27547194.859992847</v>
      </c>
      <c r="F184" s="7">
        <v>20723123.55186642</v>
      </c>
      <c r="G184" s="7"/>
      <c r="H184" s="7"/>
      <c r="I184" s="7">
        <v>20723123.55186642</v>
      </c>
      <c r="J184" s="6">
        <v>3.10041210399676</v>
      </c>
      <c r="K184" s="7">
        <v>2024.8526447401971</v>
      </c>
      <c r="L184" s="7">
        <v>580704</v>
      </c>
      <c r="M184" s="6">
        <v>32.210831599999999</v>
      </c>
      <c r="N184" s="6">
        <v>23.289866400000001</v>
      </c>
      <c r="O184" s="6">
        <v>56.9844717</v>
      </c>
      <c r="P184" s="6">
        <v>30.967178100000002</v>
      </c>
      <c r="Q184" s="6">
        <v>35.7562395</v>
      </c>
      <c r="R184" s="6">
        <v>46.179645099999988</v>
      </c>
      <c r="S184" s="5">
        <v>0</v>
      </c>
      <c r="T184" s="5">
        <v>0</v>
      </c>
      <c r="U184" s="5">
        <v>0</v>
      </c>
    </row>
    <row r="185" spans="1:21" x14ac:dyDescent="0.3">
      <c r="A185" s="2" t="s">
        <v>22</v>
      </c>
      <c r="B185" s="2">
        <v>2005</v>
      </c>
      <c r="C185" s="2" t="s">
        <v>23</v>
      </c>
      <c r="D185" s="8">
        <v>37.847518999999998</v>
      </c>
      <c r="E185" s="4">
        <f t="shared" si="2"/>
        <v>33275511.371399518</v>
      </c>
      <c r="F185" s="4">
        <v>6547510.6200109934</v>
      </c>
      <c r="G185" s="4"/>
      <c r="H185" s="4"/>
      <c r="I185" s="4">
        <v>6547510.6200109934</v>
      </c>
      <c r="J185" s="3">
        <v>5.6652024019315093</v>
      </c>
      <c r="K185" s="4">
        <v>2162.0719557681991</v>
      </c>
      <c r="L185" s="4">
        <v>592677</v>
      </c>
      <c r="M185" s="3">
        <v>30.8710424</v>
      </c>
      <c r="N185" s="3">
        <v>20.204539799999999</v>
      </c>
      <c r="O185" s="3">
        <v>54.075490500000001</v>
      </c>
      <c r="P185" s="3">
        <v>30.8623896</v>
      </c>
      <c r="Q185" s="3">
        <v>40.3177351</v>
      </c>
      <c r="R185" s="3">
        <v>45.4876492</v>
      </c>
      <c r="S185" s="2">
        <v>0</v>
      </c>
      <c r="T185" s="2">
        <v>0</v>
      </c>
      <c r="U185" s="2">
        <v>0</v>
      </c>
    </row>
    <row r="186" spans="1:21" x14ac:dyDescent="0.3">
      <c r="A186" s="5" t="s">
        <v>22</v>
      </c>
      <c r="B186" s="5">
        <v>2006</v>
      </c>
      <c r="C186" s="5" t="s">
        <v>23</v>
      </c>
      <c r="D186" s="9">
        <v>37.796878</v>
      </c>
      <c r="E186" s="7">
        <f t="shared" si="2"/>
        <v>33230987.840772342</v>
      </c>
      <c r="F186" s="7">
        <v>2803611.0440988601</v>
      </c>
      <c r="G186" s="7"/>
      <c r="H186" s="7"/>
      <c r="I186" s="7">
        <v>2803611.0440988601</v>
      </c>
      <c r="J186" s="6">
        <v>-1.7544467944939439</v>
      </c>
      <c r="K186" s="7">
        <v>2145.9206695341431</v>
      </c>
      <c r="L186" s="7">
        <v>604753</v>
      </c>
      <c r="M186" s="6">
        <v>35.057615200000001</v>
      </c>
      <c r="N186" s="6">
        <v>20.378622100000001</v>
      </c>
      <c r="O186" s="6">
        <v>59.188674499999998</v>
      </c>
      <c r="P186" s="6">
        <v>32.567355900000003</v>
      </c>
      <c r="Q186" s="6">
        <v>40.355758700000003</v>
      </c>
      <c r="R186" s="6">
        <v>49.761431399999999</v>
      </c>
      <c r="S186" s="5">
        <v>0</v>
      </c>
      <c r="T186" s="5">
        <v>0</v>
      </c>
      <c r="U186" s="5">
        <v>0</v>
      </c>
    </row>
    <row r="187" spans="1:21" x14ac:dyDescent="0.3">
      <c r="A187" s="2" t="s">
        <v>22</v>
      </c>
      <c r="B187" s="2">
        <v>2007</v>
      </c>
      <c r="C187" s="2" t="s">
        <v>23</v>
      </c>
      <c r="D187" s="8">
        <v>46.830792000000002</v>
      </c>
      <c r="E187" s="4">
        <f t="shared" si="2"/>
        <v>41173598.505298212</v>
      </c>
      <c r="F187" s="4">
        <v>575764.60252291197</v>
      </c>
      <c r="G187" s="4"/>
      <c r="H187" s="4"/>
      <c r="I187" s="4">
        <v>575764.60252291197</v>
      </c>
      <c r="J187" s="3">
        <v>0.80359978824775169</v>
      </c>
      <c r="K187" s="4">
        <v>2177.9281684323041</v>
      </c>
      <c r="L187" s="4">
        <v>616927</v>
      </c>
      <c r="M187" s="3">
        <v>35.014751699999998</v>
      </c>
      <c r="N187" s="3">
        <v>20.4124956</v>
      </c>
      <c r="O187" s="3">
        <v>48.872380399999997</v>
      </c>
      <c r="P187" s="3">
        <v>33.239358799999998</v>
      </c>
      <c r="Q187" s="3">
        <v>40.3819637</v>
      </c>
      <c r="R187" s="3">
        <v>47.723593899999997</v>
      </c>
      <c r="S187" s="2">
        <v>0</v>
      </c>
      <c r="T187" s="2">
        <v>0</v>
      </c>
      <c r="U187" s="2">
        <v>0</v>
      </c>
    </row>
    <row r="188" spans="1:21" x14ac:dyDescent="0.3">
      <c r="A188" s="5" t="s">
        <v>22</v>
      </c>
      <c r="B188" s="5">
        <v>2008</v>
      </c>
      <c r="C188" s="5" t="s">
        <v>23</v>
      </c>
      <c r="D188" s="9">
        <v>43.859608000000001</v>
      </c>
      <c r="E188" s="7">
        <f t="shared" si="2"/>
        <v>38561335.678281188</v>
      </c>
      <c r="F188" s="7">
        <v>1535529.93400385</v>
      </c>
      <c r="G188" s="7"/>
      <c r="H188" s="7"/>
      <c r="I188" s="7">
        <v>1535529.93400385</v>
      </c>
      <c r="J188" s="6">
        <v>3.9646111887181519</v>
      </c>
      <c r="K188" s="7">
        <v>2262.498530002907</v>
      </c>
      <c r="L188" s="7">
        <v>629307</v>
      </c>
      <c r="M188" s="6">
        <v>32.072304600000002</v>
      </c>
      <c r="N188" s="6">
        <v>18.854601800000001</v>
      </c>
      <c r="O188" s="6">
        <v>48.862211700000003</v>
      </c>
      <c r="P188" s="6">
        <v>31.292570900000001</v>
      </c>
      <c r="Q188" s="6">
        <v>39.158399699999997</v>
      </c>
      <c r="R188" s="6">
        <v>47.747997599999998</v>
      </c>
      <c r="S188" s="5">
        <v>0</v>
      </c>
      <c r="T188" s="5">
        <v>0</v>
      </c>
      <c r="U188" s="5">
        <v>0</v>
      </c>
    </row>
    <row r="189" spans="1:21" x14ac:dyDescent="0.3">
      <c r="A189" s="2" t="s">
        <v>22</v>
      </c>
      <c r="B189" s="2">
        <v>2009</v>
      </c>
      <c r="C189" s="2" t="s">
        <v>23</v>
      </c>
      <c r="D189" s="8">
        <v>59.652956000000003</v>
      </c>
      <c r="E189" s="4">
        <f t="shared" si="2"/>
        <v>52446835.833957709</v>
      </c>
      <c r="F189" s="4">
        <v>16628401.8757177</v>
      </c>
      <c r="G189" s="4"/>
      <c r="H189" s="4"/>
      <c r="I189" s="4">
        <v>16628401.8757177</v>
      </c>
      <c r="J189" s="3">
        <v>3.2406019848392451</v>
      </c>
      <c r="K189" s="4">
        <v>2303.947828914695</v>
      </c>
      <c r="L189" s="4">
        <v>641947</v>
      </c>
      <c r="M189" s="3">
        <v>31.555771</v>
      </c>
      <c r="N189" s="3">
        <v>19.472289700000001</v>
      </c>
      <c r="O189" s="3">
        <v>57.251176899999997</v>
      </c>
      <c r="P189" s="3">
        <v>30.705219499999998</v>
      </c>
      <c r="Q189" s="3">
        <v>37.180999999999997</v>
      </c>
      <c r="R189" s="3">
        <v>46.882154700000001</v>
      </c>
      <c r="S189" s="2">
        <v>0</v>
      </c>
      <c r="T189" s="2">
        <v>0</v>
      </c>
      <c r="U189" s="2">
        <v>0</v>
      </c>
    </row>
    <row r="190" spans="1:21" x14ac:dyDescent="0.3">
      <c r="A190" s="5" t="s">
        <v>22</v>
      </c>
      <c r="B190" s="5">
        <v>2010</v>
      </c>
      <c r="C190" s="5" t="s">
        <v>23</v>
      </c>
      <c r="D190" s="9">
        <v>77.117125999999999</v>
      </c>
      <c r="E190" s="7">
        <f t="shared" si="2"/>
        <v>67801321.485369995</v>
      </c>
      <c r="F190" s="7">
        <v>45735787.594685867</v>
      </c>
      <c r="G190" s="7"/>
      <c r="H190" s="7"/>
      <c r="I190" s="7">
        <v>45735787.594685867</v>
      </c>
      <c r="J190" s="6">
        <v>3.7778807074311662</v>
      </c>
      <c r="K190" s="7">
        <v>2372.4123398971178</v>
      </c>
      <c r="L190" s="7">
        <v>654836</v>
      </c>
      <c r="M190" s="6">
        <v>31.761206399999999</v>
      </c>
      <c r="N190" s="6">
        <v>19.636463299999999</v>
      </c>
      <c r="O190" s="6">
        <v>57.6523605</v>
      </c>
      <c r="P190" s="6">
        <v>31.5177537</v>
      </c>
      <c r="Q190" s="6">
        <v>39.103203299999997</v>
      </c>
      <c r="R190" s="6">
        <v>46.568524099999998</v>
      </c>
      <c r="S190" s="5">
        <v>0</v>
      </c>
      <c r="T190" s="5">
        <v>0</v>
      </c>
      <c r="U190" s="5">
        <v>0</v>
      </c>
    </row>
    <row r="191" spans="1:21" x14ac:dyDescent="0.3">
      <c r="A191" s="2" t="s">
        <v>22</v>
      </c>
      <c r="B191" s="2">
        <v>2011</v>
      </c>
      <c r="C191" s="2" t="s">
        <v>23</v>
      </c>
      <c r="D191" s="8">
        <v>55.090758999999998</v>
      </c>
      <c r="E191" s="4">
        <f t="shared" si="2"/>
        <v>48435755.526367001</v>
      </c>
      <c r="F191" s="4"/>
      <c r="G191" s="4"/>
      <c r="H191" s="4"/>
      <c r="I191" s="4"/>
      <c r="J191" s="3">
        <v>4.143564792114546</v>
      </c>
      <c r="K191" s="4">
        <v>2471.787247315021</v>
      </c>
      <c r="L191" s="4">
        <v>668056</v>
      </c>
      <c r="M191" s="3">
        <v>31.771426399999999</v>
      </c>
      <c r="N191" s="3">
        <v>18.345718699999999</v>
      </c>
      <c r="O191" s="3">
        <v>56.880419099999997</v>
      </c>
      <c r="P191" s="3">
        <v>31.7054367</v>
      </c>
      <c r="Q191" s="3">
        <v>39.158859199999988</v>
      </c>
      <c r="R191" s="3">
        <v>47.775000499999997</v>
      </c>
      <c r="S191" s="2">
        <v>0</v>
      </c>
      <c r="T191" s="2">
        <v>0</v>
      </c>
      <c r="U191" s="2">
        <v>0</v>
      </c>
    </row>
    <row r="192" spans="1:21" x14ac:dyDescent="0.3">
      <c r="A192" s="5" t="s">
        <v>22</v>
      </c>
      <c r="B192" s="5">
        <v>2012</v>
      </c>
      <c r="C192" s="5" t="s">
        <v>23</v>
      </c>
      <c r="D192" s="9">
        <v>113.87295399999999</v>
      </c>
      <c r="E192" s="7">
        <f t="shared" si="2"/>
        <v>100117018.91798651</v>
      </c>
      <c r="F192" s="7">
        <v>848403.28312818694</v>
      </c>
      <c r="G192" s="7">
        <v>0</v>
      </c>
      <c r="H192" s="7"/>
      <c r="I192" s="7">
        <v>848403.28312818694</v>
      </c>
      <c r="J192" s="6">
        <v>3.1683562755969059</v>
      </c>
      <c r="K192" s="7">
        <v>2678.7026282059901</v>
      </c>
      <c r="L192" s="7">
        <v>681630</v>
      </c>
      <c r="M192" s="6">
        <v>32.070242</v>
      </c>
      <c r="N192" s="6">
        <v>20.419425400000002</v>
      </c>
      <c r="O192" s="6">
        <v>59.146086699999998</v>
      </c>
      <c r="P192" s="6">
        <v>32.388345600000001</v>
      </c>
      <c r="Q192" s="6">
        <v>39.250841800000003</v>
      </c>
      <c r="R192" s="6">
        <v>47.252299099999988</v>
      </c>
      <c r="S192" s="5">
        <v>0</v>
      </c>
      <c r="T192" s="5">
        <v>0</v>
      </c>
      <c r="U192" s="5">
        <v>0</v>
      </c>
    </row>
    <row r="193" spans="1:21" x14ac:dyDescent="0.3">
      <c r="A193" s="2" t="s">
        <v>22</v>
      </c>
      <c r="B193" s="2">
        <v>2013</v>
      </c>
      <c r="C193" s="2" t="s">
        <v>23</v>
      </c>
      <c r="D193" s="8">
        <v>185.784797</v>
      </c>
      <c r="E193" s="4">
        <f t="shared" si="2"/>
        <v>163341859.3490012</v>
      </c>
      <c r="F193" s="4">
        <v>608941.11093936802</v>
      </c>
      <c r="G193" s="4"/>
      <c r="H193" s="4"/>
      <c r="I193" s="4">
        <v>608941.11093936802</v>
      </c>
      <c r="J193" s="3">
        <v>4.4661636979028003</v>
      </c>
      <c r="K193" s="4">
        <v>2832.5312154814619</v>
      </c>
      <c r="L193" s="4">
        <v>696192</v>
      </c>
      <c r="M193" s="3">
        <v>31.214988600000002</v>
      </c>
      <c r="N193" s="3">
        <v>21.6300548</v>
      </c>
      <c r="O193" s="3">
        <v>61.801752899999997</v>
      </c>
      <c r="P193" s="3">
        <v>32.831418399999997</v>
      </c>
      <c r="Q193" s="3">
        <v>40.357298999999998</v>
      </c>
      <c r="R193" s="3">
        <v>45.966137499999988</v>
      </c>
      <c r="S193" s="2">
        <v>0</v>
      </c>
      <c r="T193" s="2">
        <v>0</v>
      </c>
      <c r="U193" s="2">
        <v>0</v>
      </c>
    </row>
    <row r="194" spans="1:21" x14ac:dyDescent="0.3">
      <c r="A194" s="5" t="s">
        <v>22</v>
      </c>
      <c r="B194" s="5">
        <v>2014</v>
      </c>
      <c r="C194" s="5" t="s">
        <v>23</v>
      </c>
      <c r="D194" s="9">
        <v>78.252651999999998</v>
      </c>
      <c r="E194" s="7">
        <f t="shared" si="2"/>
        <v>68799675.124495447</v>
      </c>
      <c r="F194" s="7">
        <v>37597888.012939408</v>
      </c>
      <c r="G194" s="7"/>
      <c r="H194" s="7"/>
      <c r="I194" s="7">
        <v>37597888.012939408</v>
      </c>
      <c r="J194" s="6">
        <v>2.106669205609577</v>
      </c>
      <c r="K194" s="7">
        <v>2937.6119289498092</v>
      </c>
      <c r="L194" s="7">
        <v>711503</v>
      </c>
      <c r="M194" s="6">
        <v>31.5387722</v>
      </c>
      <c r="N194" s="6">
        <v>25.645933299999999</v>
      </c>
      <c r="O194" s="6">
        <v>65.632674100000003</v>
      </c>
      <c r="P194" s="6">
        <v>35.1315271</v>
      </c>
      <c r="Q194" s="6">
        <v>43.027357199999997</v>
      </c>
      <c r="R194" s="6">
        <v>46.406228800000001</v>
      </c>
      <c r="S194" s="5">
        <v>0</v>
      </c>
      <c r="T194" s="5">
        <v>0</v>
      </c>
      <c r="U194" s="5">
        <v>0</v>
      </c>
    </row>
    <row r="195" spans="1:21" x14ac:dyDescent="0.3">
      <c r="A195" s="2" t="s">
        <v>22</v>
      </c>
      <c r="B195" s="2">
        <v>2015</v>
      </c>
      <c r="C195" s="2" t="s">
        <v>23</v>
      </c>
      <c r="D195" s="8">
        <v>81.507728999999998</v>
      </c>
      <c r="E195" s="4">
        <f t="shared" ref="E195:E258" si="3">(D195*0.879199277802054)*1000000</f>
        <v>71661536.472085536</v>
      </c>
      <c r="F195" s="4">
        <v>397578.83058581298</v>
      </c>
      <c r="G195" s="4"/>
      <c r="H195" s="4">
        <v>797690.01041102898</v>
      </c>
      <c r="I195" s="4">
        <v>1195268.8409968419</v>
      </c>
      <c r="J195" s="3">
        <v>1.147473993971929</v>
      </c>
      <c r="K195" s="4">
        <v>2949.473422409927</v>
      </c>
      <c r="L195" s="4">
        <v>726682</v>
      </c>
      <c r="M195" s="3">
        <v>30.715982100000002</v>
      </c>
      <c r="N195" s="3">
        <v>23.913185299999999</v>
      </c>
      <c r="O195" s="3">
        <v>64.242974899999993</v>
      </c>
      <c r="P195" s="3">
        <v>35.299035400000001</v>
      </c>
      <c r="Q195" s="3">
        <v>43.829505099999999</v>
      </c>
      <c r="R195" s="3">
        <v>44.998466899999997</v>
      </c>
      <c r="S195" s="2">
        <v>0</v>
      </c>
      <c r="T195" s="2">
        <v>0</v>
      </c>
      <c r="U195" s="2">
        <v>0</v>
      </c>
    </row>
    <row r="196" spans="1:21" x14ac:dyDescent="0.3">
      <c r="A196" s="5" t="s">
        <v>22</v>
      </c>
      <c r="B196" s="5">
        <v>2016</v>
      </c>
      <c r="C196" s="5" t="s">
        <v>23</v>
      </c>
      <c r="D196" s="9">
        <v>68.449337</v>
      </c>
      <c r="E196" s="7">
        <f t="shared" si="3"/>
        <v>60180607.65642941</v>
      </c>
      <c r="F196" s="7">
        <v>6740171.8574599102</v>
      </c>
      <c r="G196" s="7"/>
      <c r="H196" s="7"/>
      <c r="I196" s="7">
        <v>6740171.8574599102</v>
      </c>
      <c r="J196" s="6">
        <v>3.3203998796131491</v>
      </c>
      <c r="K196" s="7">
        <v>3139.0516074046541</v>
      </c>
      <c r="L196" s="7">
        <v>741741</v>
      </c>
      <c r="M196" s="6">
        <v>30.375306999999999</v>
      </c>
      <c r="N196" s="6">
        <v>25.022968200000001</v>
      </c>
      <c r="O196" s="6">
        <v>61.453718700000003</v>
      </c>
      <c r="P196" s="6">
        <v>35.573129999999999</v>
      </c>
      <c r="Q196" s="6">
        <v>44.296360900000003</v>
      </c>
      <c r="R196" s="6">
        <v>44.446086600000001</v>
      </c>
      <c r="S196" s="5">
        <v>0</v>
      </c>
      <c r="T196" s="5">
        <v>0</v>
      </c>
      <c r="U196" s="5">
        <v>0</v>
      </c>
    </row>
    <row r="197" spans="1:21" x14ac:dyDescent="0.3">
      <c r="A197" s="2" t="s">
        <v>22</v>
      </c>
      <c r="B197" s="2">
        <v>2017</v>
      </c>
      <c r="C197" s="2" t="s">
        <v>23</v>
      </c>
      <c r="D197" s="8">
        <v>82.236957000000004</v>
      </c>
      <c r="E197" s="4">
        <f t="shared" si="3"/>
        <v>72302673.203038573</v>
      </c>
      <c r="F197" s="4">
        <v>4040637.48652633</v>
      </c>
      <c r="G197" s="4"/>
      <c r="H197" s="4"/>
      <c r="I197" s="4">
        <v>4040637.48652633</v>
      </c>
      <c r="J197" s="3">
        <v>3.815702112807259</v>
      </c>
      <c r="K197" s="4">
        <v>3347.456529974836</v>
      </c>
      <c r="L197" s="4">
        <v>756669</v>
      </c>
      <c r="M197" s="3">
        <v>28.74004</v>
      </c>
      <c r="N197" s="3">
        <v>26.1499223</v>
      </c>
      <c r="O197" s="3">
        <v>62.478103999999988</v>
      </c>
      <c r="P197" s="3">
        <v>35.580621499999999</v>
      </c>
      <c r="Q197" s="3">
        <v>42.775724699999998</v>
      </c>
      <c r="R197" s="3">
        <v>44.490609399999997</v>
      </c>
      <c r="S197" s="2">
        <v>0</v>
      </c>
      <c r="T197" s="2">
        <v>0</v>
      </c>
      <c r="U197" s="2">
        <v>0</v>
      </c>
    </row>
    <row r="198" spans="1:21" x14ac:dyDescent="0.3">
      <c r="A198" s="5" t="s">
        <v>22</v>
      </c>
      <c r="B198" s="5">
        <v>2018</v>
      </c>
      <c r="C198" s="5" t="s">
        <v>23</v>
      </c>
      <c r="D198" s="9">
        <v>106.33687399999999</v>
      </c>
      <c r="E198" s="7">
        <f t="shared" si="3"/>
        <v>93491302.824528009</v>
      </c>
      <c r="F198" s="7">
        <v>104561594.3882485</v>
      </c>
      <c r="G198" s="7">
        <v>0</v>
      </c>
      <c r="H198" s="7"/>
      <c r="I198" s="7">
        <v>104561594.3882485</v>
      </c>
      <c r="J198" s="6">
        <v>3.6425958740839799</v>
      </c>
      <c r="K198" s="7">
        <v>3276.0093669533239</v>
      </c>
      <c r="L198" s="7">
        <v>771590</v>
      </c>
      <c r="M198" s="6">
        <v>27.136908399999999</v>
      </c>
      <c r="N198" s="6">
        <v>25.801886</v>
      </c>
      <c r="O198" s="6">
        <v>58.931488799999997</v>
      </c>
      <c r="P198" s="6">
        <v>35.2889464</v>
      </c>
      <c r="Q198" s="6">
        <v>41.231661299999999</v>
      </c>
      <c r="R198" s="6">
        <v>42.561738800000001</v>
      </c>
      <c r="S198" s="5">
        <v>0</v>
      </c>
      <c r="T198" s="5">
        <v>0</v>
      </c>
      <c r="U198" s="5">
        <v>0</v>
      </c>
    </row>
    <row r="199" spans="1:21" x14ac:dyDescent="0.3">
      <c r="A199" s="2" t="s">
        <v>22</v>
      </c>
      <c r="B199" s="2">
        <v>2019</v>
      </c>
      <c r="C199" s="2" t="s">
        <v>23</v>
      </c>
      <c r="D199" s="8">
        <v>114.11120099999999</v>
      </c>
      <c r="E199" s="4">
        <f t="shared" si="3"/>
        <v>100326485.50832503</v>
      </c>
      <c r="F199" s="4">
        <v>14853676.809189729</v>
      </c>
      <c r="G199" s="4"/>
      <c r="H199" s="4"/>
      <c r="I199" s="4">
        <v>14853676.809189729</v>
      </c>
      <c r="J199" s="3">
        <v>1.760701646557266</v>
      </c>
      <c r="K199" s="4">
        <v>3293.056017484952</v>
      </c>
      <c r="L199" s="4">
        <v>786578</v>
      </c>
      <c r="M199" s="3">
        <v>22.153112700000001</v>
      </c>
      <c r="N199" s="3">
        <v>25.224213899999999</v>
      </c>
      <c r="O199" s="3">
        <v>58.121687700000003</v>
      </c>
      <c r="P199" s="3">
        <v>35.722158899999997</v>
      </c>
      <c r="Q199" s="3">
        <v>40.071992000000002</v>
      </c>
      <c r="R199" s="3">
        <v>35.937473799999999</v>
      </c>
      <c r="S199" s="2">
        <v>0</v>
      </c>
      <c r="T199" s="2">
        <v>0</v>
      </c>
      <c r="U199" s="2">
        <v>0</v>
      </c>
    </row>
    <row r="200" spans="1:21" x14ac:dyDescent="0.3">
      <c r="A200" s="5" t="s">
        <v>22</v>
      </c>
      <c r="B200" s="5">
        <v>2020</v>
      </c>
      <c r="C200" s="5" t="s">
        <v>23</v>
      </c>
      <c r="D200" s="9">
        <v>149.259524</v>
      </c>
      <c r="E200" s="7">
        <f t="shared" si="3"/>
        <v>131228865.70587835</v>
      </c>
      <c r="F200" s="7">
        <v>139199.97421060229</v>
      </c>
      <c r="G200" s="7"/>
      <c r="H200" s="7"/>
      <c r="I200" s="7">
        <v>139199.97421060229</v>
      </c>
      <c r="J200" s="6">
        <v>-0.19557745682196531</v>
      </c>
      <c r="K200" s="7">
        <v>3244.8867496846951</v>
      </c>
      <c r="L200" s="7">
        <v>802163</v>
      </c>
      <c r="M200" s="6">
        <v>21.087197499999998</v>
      </c>
      <c r="N200" s="6">
        <v>24.6076926</v>
      </c>
      <c r="O200" s="6">
        <v>58.100351099999997</v>
      </c>
      <c r="P200" s="6">
        <v>34.714503899999997</v>
      </c>
      <c r="Q200" s="6">
        <v>38.612015</v>
      </c>
      <c r="R200" s="6">
        <v>35.5822766</v>
      </c>
      <c r="S200" s="5">
        <v>0</v>
      </c>
      <c r="T200" s="5">
        <v>0</v>
      </c>
      <c r="U200" s="5">
        <v>0</v>
      </c>
    </row>
    <row r="201" spans="1:21" x14ac:dyDescent="0.3">
      <c r="A201" s="2" t="s">
        <v>22</v>
      </c>
      <c r="B201" s="2">
        <v>2021</v>
      </c>
      <c r="C201" s="2" t="s">
        <v>23</v>
      </c>
      <c r="D201" s="8">
        <v>162.96312</v>
      </c>
      <c r="E201" s="4">
        <f t="shared" si="3"/>
        <v>143277057.41236946</v>
      </c>
      <c r="F201" s="4">
        <v>5400000</v>
      </c>
      <c r="G201" s="4"/>
      <c r="H201" s="4"/>
      <c r="I201" s="4">
        <v>5400000</v>
      </c>
      <c r="J201" s="3">
        <v>2.000192118344899</v>
      </c>
      <c r="K201" s="4">
        <v>3377.8851848258669</v>
      </c>
      <c r="L201" s="4">
        <v>818174</v>
      </c>
      <c r="M201" s="3">
        <v>19.338525300000001</v>
      </c>
      <c r="N201" s="3">
        <v>21.162647799999998</v>
      </c>
      <c r="O201" s="3">
        <v>59.093752100000003</v>
      </c>
      <c r="P201" s="3">
        <v>33.878853599999999</v>
      </c>
      <c r="Q201" s="3">
        <v>37.996033599999997</v>
      </c>
      <c r="R201" s="3">
        <v>34.396496900000002</v>
      </c>
      <c r="S201" s="2">
        <v>0</v>
      </c>
      <c r="T201" s="2">
        <v>0</v>
      </c>
      <c r="U201" s="2">
        <v>0</v>
      </c>
    </row>
    <row r="202" spans="1:21" x14ac:dyDescent="0.3">
      <c r="A202" s="2" t="s">
        <v>24</v>
      </c>
      <c r="B202" s="2">
        <v>2002</v>
      </c>
      <c r="C202" s="2" t="s">
        <v>25</v>
      </c>
      <c r="D202" s="8">
        <v>2328.5878910000001</v>
      </c>
      <c r="E202" s="4">
        <f t="shared" si="3"/>
        <v>2047292792.0658081</v>
      </c>
      <c r="F202" s="4"/>
      <c r="G202" s="4"/>
      <c r="H202" s="4"/>
      <c r="I202" s="4">
        <v>59785698.913947597</v>
      </c>
      <c r="J202" s="3">
        <v>2.9477651835976668</v>
      </c>
      <c r="K202" s="4">
        <v>409.64183378114149</v>
      </c>
      <c r="L202" s="4">
        <v>53750524</v>
      </c>
      <c r="M202" s="3">
        <v>15.337996499999999</v>
      </c>
      <c r="N202" s="3">
        <v>9.5500081999999988</v>
      </c>
      <c r="O202" s="3">
        <v>27.2767245</v>
      </c>
      <c r="P202" s="3">
        <v>21.5545057</v>
      </c>
      <c r="Q202" s="3">
        <v>23.026363499999999</v>
      </c>
      <c r="R202" s="3">
        <v>25.905728</v>
      </c>
      <c r="S202" s="2">
        <v>0</v>
      </c>
      <c r="T202" s="2">
        <v>0</v>
      </c>
      <c r="U202" s="2">
        <v>0</v>
      </c>
    </row>
    <row r="203" spans="1:21" x14ac:dyDescent="0.3">
      <c r="A203" s="5" t="s">
        <v>24</v>
      </c>
      <c r="B203" s="5">
        <v>2003</v>
      </c>
      <c r="C203" s="5" t="s">
        <v>25</v>
      </c>
      <c r="D203" s="9">
        <v>7990.6687549999997</v>
      </c>
      <c r="E203" s="7">
        <f t="shared" si="3"/>
        <v>7025390198.5514374</v>
      </c>
      <c r="F203" s="7"/>
      <c r="G203" s="7"/>
      <c r="H203" s="7"/>
      <c r="I203" s="7">
        <v>15892914.940092389</v>
      </c>
      <c r="J203" s="6">
        <v>5.5778223114443932</v>
      </c>
      <c r="K203" s="7">
        <v>428.33247070059718</v>
      </c>
      <c r="L203" s="7">
        <v>55343867</v>
      </c>
      <c r="M203" s="6">
        <v>15.3309686</v>
      </c>
      <c r="N203" s="6">
        <v>9.4199491000000002</v>
      </c>
      <c r="O203" s="6">
        <v>30.113038899999999</v>
      </c>
      <c r="P203" s="6">
        <v>24.0575847</v>
      </c>
      <c r="Q203" s="6">
        <v>21.748331100000001</v>
      </c>
      <c r="R203" s="6">
        <v>27.539510100000001</v>
      </c>
      <c r="S203" s="5">
        <v>0</v>
      </c>
      <c r="T203" s="5">
        <v>0</v>
      </c>
      <c r="U203" s="5">
        <v>0</v>
      </c>
    </row>
    <row r="204" spans="1:21" x14ac:dyDescent="0.3">
      <c r="A204" s="2" t="s">
        <v>24</v>
      </c>
      <c r="B204" s="2">
        <v>2004</v>
      </c>
      <c r="C204" s="2" t="s">
        <v>25</v>
      </c>
      <c r="D204" s="8">
        <v>2455.3115979999998</v>
      </c>
      <c r="E204" s="4">
        <f t="shared" si="3"/>
        <v>2158708183.7406068</v>
      </c>
      <c r="F204" s="4"/>
      <c r="G204" s="4"/>
      <c r="H204" s="4"/>
      <c r="I204" s="4">
        <v>8255363.8044673596</v>
      </c>
      <c r="J204" s="3">
        <v>6.7383739332429258</v>
      </c>
      <c r="K204" s="4">
        <v>455.86655739654782</v>
      </c>
      <c r="L204" s="4">
        <v>56997741</v>
      </c>
      <c r="M204" s="3">
        <v>16.8973841</v>
      </c>
      <c r="N204" s="3">
        <v>16.088933000000001</v>
      </c>
      <c r="O204" s="3">
        <v>28.0440471</v>
      </c>
      <c r="P204" s="3">
        <v>29.867250800000001</v>
      </c>
      <c r="Q204" s="3">
        <v>28.176098499999998</v>
      </c>
      <c r="R204" s="3">
        <v>28.846401700000001</v>
      </c>
      <c r="S204" s="2">
        <v>0</v>
      </c>
      <c r="T204" s="2">
        <v>0</v>
      </c>
      <c r="U204" s="2">
        <v>0</v>
      </c>
    </row>
    <row r="205" spans="1:21" x14ac:dyDescent="0.3">
      <c r="A205" s="5" t="s">
        <v>24</v>
      </c>
      <c r="B205" s="5">
        <v>2005</v>
      </c>
      <c r="C205" s="5" t="s">
        <v>25</v>
      </c>
      <c r="D205" s="9">
        <v>2414.9679719999999</v>
      </c>
      <c r="E205" s="7">
        <f t="shared" si="3"/>
        <v>2123238096.8974907</v>
      </c>
      <c r="F205" s="7"/>
      <c r="G205" s="7"/>
      <c r="H205" s="7"/>
      <c r="I205" s="7"/>
      <c r="J205" s="6">
        <v>6.1351511554896803</v>
      </c>
      <c r="K205" s="7">
        <v>483.91002482732148</v>
      </c>
      <c r="L205" s="7">
        <v>58775724</v>
      </c>
      <c r="M205" s="6">
        <v>16.8265104</v>
      </c>
      <c r="N205" s="6">
        <v>17.6123972</v>
      </c>
      <c r="O205" s="6">
        <v>30.4536938</v>
      </c>
      <c r="P205" s="6">
        <v>32.415713699999998</v>
      </c>
      <c r="Q205" s="6">
        <v>29.2539652</v>
      </c>
      <c r="R205" s="6">
        <v>30.928641299999999</v>
      </c>
      <c r="S205" s="5">
        <v>1</v>
      </c>
      <c r="T205" s="5">
        <v>1</v>
      </c>
      <c r="U205" s="5">
        <v>0</v>
      </c>
    </row>
    <row r="206" spans="1:21" x14ac:dyDescent="0.3">
      <c r="A206" s="2" t="s">
        <v>24</v>
      </c>
      <c r="B206" s="2">
        <v>2006</v>
      </c>
      <c r="C206" s="2" t="s">
        <v>25</v>
      </c>
      <c r="D206" s="8">
        <v>2937.5983510000001</v>
      </c>
      <c r="E206" s="4">
        <f t="shared" si="3"/>
        <v>2582734348.6717048</v>
      </c>
      <c r="F206" s="4"/>
      <c r="G206" s="4"/>
      <c r="H206" s="4"/>
      <c r="I206" s="4">
        <v>407971764.86971831</v>
      </c>
      <c r="J206" s="3">
        <v>5.10894433184896</v>
      </c>
      <c r="K206" s="4">
        <v>508.40081751830041</v>
      </c>
      <c r="L206" s="4">
        <v>60615908</v>
      </c>
      <c r="M206" s="3">
        <v>17.297324400000001</v>
      </c>
      <c r="N206" s="3">
        <v>20.288475800000001</v>
      </c>
      <c r="O206" s="3">
        <v>30.824081</v>
      </c>
      <c r="P206" s="3">
        <v>34.023264599999997</v>
      </c>
      <c r="Q206" s="3">
        <v>29.132989500000001</v>
      </c>
      <c r="R206" s="3">
        <v>36.381785000000001</v>
      </c>
      <c r="S206" s="2">
        <v>1</v>
      </c>
      <c r="T206" s="2">
        <v>1</v>
      </c>
      <c r="U206" s="2">
        <v>0</v>
      </c>
    </row>
    <row r="207" spans="1:21" x14ac:dyDescent="0.3">
      <c r="A207" s="5" t="s">
        <v>24</v>
      </c>
      <c r="B207" s="5">
        <v>2007</v>
      </c>
      <c r="C207" s="5" t="s">
        <v>25</v>
      </c>
      <c r="D207" s="9">
        <v>1607.694745</v>
      </c>
      <c r="E207" s="7">
        <f t="shared" si="3"/>
        <v>1413484058.7301574</v>
      </c>
      <c r="F207" s="7"/>
      <c r="G207" s="7"/>
      <c r="H207" s="7"/>
      <c r="I207" s="7">
        <v>277195799.91366601</v>
      </c>
      <c r="J207" s="6">
        <v>8.5299297424358542</v>
      </c>
      <c r="K207" s="7">
        <v>549.82765007876264</v>
      </c>
      <c r="L207" s="7">
        <v>62477752</v>
      </c>
      <c r="M207" s="6">
        <v>19.550025000000002</v>
      </c>
      <c r="N207" s="6">
        <v>19.673743300000002</v>
      </c>
      <c r="O207" s="6">
        <v>31.263693</v>
      </c>
      <c r="P207" s="6">
        <v>33.979756000000002</v>
      </c>
      <c r="Q207" s="6">
        <v>29.483932899999999</v>
      </c>
      <c r="R207" s="6">
        <v>36.921636999999997</v>
      </c>
      <c r="S207" s="5">
        <v>1</v>
      </c>
      <c r="T207" s="5">
        <v>1</v>
      </c>
      <c r="U207" s="5">
        <v>0</v>
      </c>
    </row>
    <row r="208" spans="1:21" x14ac:dyDescent="0.3">
      <c r="A208" s="2" t="s">
        <v>24</v>
      </c>
      <c r="B208" s="2">
        <v>2008</v>
      </c>
      <c r="C208" s="2" t="s">
        <v>25</v>
      </c>
      <c r="D208" s="8">
        <v>2043.1516320000001</v>
      </c>
      <c r="E208" s="4">
        <f t="shared" si="3"/>
        <v>1796337439.294488</v>
      </c>
      <c r="F208" s="4"/>
      <c r="G208" s="4"/>
      <c r="H208" s="4"/>
      <c r="I208" s="4">
        <v>5084008212.4651775</v>
      </c>
      <c r="J208" s="3">
        <v>7.4017233753979212</v>
      </c>
      <c r="K208" s="4">
        <v>584.02081031147213</v>
      </c>
      <c r="L208" s="4">
        <v>64390664</v>
      </c>
      <c r="M208" s="3">
        <v>21.1366516</v>
      </c>
      <c r="N208" s="3">
        <v>19.3620363</v>
      </c>
      <c r="O208" s="3">
        <v>32.730542999999997</v>
      </c>
      <c r="P208" s="3">
        <v>33.240432800000001</v>
      </c>
      <c r="Q208" s="3">
        <v>29.685750800000001</v>
      </c>
      <c r="R208" s="3">
        <v>34.265819899999997</v>
      </c>
      <c r="S208" s="2">
        <v>1</v>
      </c>
      <c r="T208" s="2">
        <v>1</v>
      </c>
      <c r="U208" s="2">
        <v>0</v>
      </c>
    </row>
    <row r="209" spans="1:21" x14ac:dyDescent="0.3">
      <c r="A209" s="5" t="s">
        <v>24</v>
      </c>
      <c r="B209" s="5">
        <v>2009</v>
      </c>
      <c r="C209" s="5" t="s">
        <v>25</v>
      </c>
      <c r="D209" s="9">
        <v>2846.5614949999999</v>
      </c>
      <c r="E209" s="7">
        <f t="shared" si="3"/>
        <v>2502694810.6231346</v>
      </c>
      <c r="F209" s="7"/>
      <c r="G209" s="7"/>
      <c r="H209" s="7"/>
      <c r="I209" s="7">
        <v>297709115.71735018</v>
      </c>
      <c r="J209" s="6">
        <v>0.56548155760471275</v>
      </c>
      <c r="K209" s="7">
        <v>572.9592490248649</v>
      </c>
      <c r="L209" s="7">
        <v>66412044</v>
      </c>
      <c r="M209" s="6">
        <v>19.645109600000001</v>
      </c>
      <c r="N209" s="6">
        <v>19.2692455</v>
      </c>
      <c r="O209" s="6">
        <v>39.738606099999998</v>
      </c>
      <c r="P209" s="6">
        <v>32.412185600000001</v>
      </c>
      <c r="Q209" s="6">
        <v>29.165547</v>
      </c>
      <c r="R209" s="6">
        <v>33.748619599999998</v>
      </c>
      <c r="S209" s="5">
        <v>0</v>
      </c>
      <c r="T209" s="5">
        <v>0</v>
      </c>
      <c r="U209" s="5">
        <v>0</v>
      </c>
    </row>
    <row r="210" spans="1:21" x14ac:dyDescent="0.3">
      <c r="A210" s="2" t="s">
        <v>24</v>
      </c>
      <c r="B210" s="2">
        <v>2010</v>
      </c>
      <c r="C210" s="2" t="s">
        <v>25</v>
      </c>
      <c r="D210" s="8">
        <v>4797.2847140000003</v>
      </c>
      <c r="E210" s="4">
        <f t="shared" si="3"/>
        <v>4217769255.9596334</v>
      </c>
      <c r="F210" s="4"/>
      <c r="G210" s="4"/>
      <c r="H210" s="4"/>
      <c r="I210" s="4">
        <v>69335880.340283096</v>
      </c>
      <c r="J210" s="3">
        <v>7.8430078219124937</v>
      </c>
      <c r="K210" s="4">
        <v>605.78516028092736</v>
      </c>
      <c r="L210" s="4">
        <v>68563038</v>
      </c>
      <c r="M210" s="3">
        <v>19.130241900000001</v>
      </c>
      <c r="N210" s="3">
        <v>18.719788600000001</v>
      </c>
      <c r="O210" s="3">
        <v>31.2204646</v>
      </c>
      <c r="P210" s="3">
        <v>31.897345000000001</v>
      </c>
      <c r="Q210" s="3">
        <v>29.145178099999999</v>
      </c>
      <c r="R210" s="3">
        <v>33.455773200000003</v>
      </c>
      <c r="S210" s="2">
        <v>0</v>
      </c>
      <c r="T210" s="2">
        <v>0</v>
      </c>
      <c r="U210" s="2">
        <v>0</v>
      </c>
    </row>
    <row r="211" spans="1:21" x14ac:dyDescent="0.3">
      <c r="A211" s="5" t="s">
        <v>24</v>
      </c>
      <c r="B211" s="5">
        <v>2011</v>
      </c>
      <c r="C211" s="5" t="s">
        <v>25</v>
      </c>
      <c r="D211" s="9">
        <v>7669.3494639999999</v>
      </c>
      <c r="E211" s="7">
        <f t="shared" si="3"/>
        <v>6742886509.9603701</v>
      </c>
      <c r="F211" s="7"/>
      <c r="G211" s="7"/>
      <c r="H211" s="7"/>
      <c r="I211" s="7">
        <v>1312503143.1477444</v>
      </c>
      <c r="J211" s="6">
        <v>7.5933172129495858</v>
      </c>
      <c r="K211" s="7">
        <v>643.76467909397604</v>
      </c>
      <c r="L211" s="7">
        <v>70849311</v>
      </c>
      <c r="M211" s="6">
        <v>19.6106181</v>
      </c>
      <c r="N211" s="6">
        <v>19.4759277</v>
      </c>
      <c r="O211" s="6">
        <v>28.922053300000002</v>
      </c>
      <c r="P211" s="6">
        <v>32.302864499999998</v>
      </c>
      <c r="Q211" s="6">
        <v>28.776290800000002</v>
      </c>
      <c r="R211" s="6">
        <v>31.6359274</v>
      </c>
      <c r="S211" s="5">
        <v>1</v>
      </c>
      <c r="T211" s="5">
        <v>1</v>
      </c>
      <c r="U211" s="5">
        <v>0</v>
      </c>
    </row>
    <row r="212" spans="1:21" x14ac:dyDescent="0.3">
      <c r="A212" s="2" t="s">
        <v>24</v>
      </c>
      <c r="B212" s="2">
        <v>2012</v>
      </c>
      <c r="C212" s="2" t="s">
        <v>25</v>
      </c>
      <c r="D212" s="8">
        <v>3146.5434650000002</v>
      </c>
      <c r="E212" s="4">
        <f t="shared" si="3"/>
        <v>2766438742.000773</v>
      </c>
      <c r="F212" s="4"/>
      <c r="G212" s="4"/>
      <c r="H212" s="4"/>
      <c r="I212" s="4">
        <v>110615858.00341578</v>
      </c>
      <c r="J212" s="3">
        <v>8.6685936053192165</v>
      </c>
      <c r="K212" s="4">
        <v>647.80173328492856</v>
      </c>
      <c r="L212" s="4">
        <v>73254618</v>
      </c>
      <c r="M212" s="3">
        <v>20.061182500000001</v>
      </c>
      <c r="N212" s="3">
        <v>20.748505699999999</v>
      </c>
      <c r="O212" s="3">
        <v>28.027957900000001</v>
      </c>
      <c r="P212" s="3">
        <v>32.645943299999999</v>
      </c>
      <c r="Q212" s="3">
        <v>28.182074</v>
      </c>
      <c r="R212" s="3">
        <v>31.539478200000001</v>
      </c>
      <c r="S212" s="2">
        <v>1</v>
      </c>
      <c r="T212" s="2">
        <v>1</v>
      </c>
      <c r="U212" s="2">
        <v>0</v>
      </c>
    </row>
    <row r="213" spans="1:21" x14ac:dyDescent="0.3">
      <c r="A213" s="5" t="s">
        <v>24</v>
      </c>
      <c r="B213" s="5">
        <v>2013</v>
      </c>
      <c r="C213" s="5" t="s">
        <v>25</v>
      </c>
      <c r="D213" s="9">
        <v>2815.730673</v>
      </c>
      <c r="E213" s="7">
        <f t="shared" si="3"/>
        <v>2475588374.1866913</v>
      </c>
      <c r="F213" s="7"/>
      <c r="G213" s="7"/>
      <c r="H213" s="7"/>
      <c r="I213" s="7">
        <v>11959276.50922469</v>
      </c>
      <c r="J213" s="6">
        <v>9.6244887921687905</v>
      </c>
      <c r="K213" s="7">
        <v>760.64987993961961</v>
      </c>
      <c r="L213" s="7">
        <v>75789395</v>
      </c>
      <c r="M213" s="6">
        <v>20.1118065</v>
      </c>
      <c r="N213" s="6">
        <v>24.719145699999999</v>
      </c>
      <c r="O213" s="6">
        <v>27.875613999999999</v>
      </c>
      <c r="P213" s="6">
        <v>35.191586200000003</v>
      </c>
      <c r="Q213" s="6">
        <v>29.145620399999999</v>
      </c>
      <c r="R213" s="6">
        <v>31.678376199999999</v>
      </c>
      <c r="S213" s="5">
        <v>1</v>
      </c>
      <c r="T213" s="5">
        <v>2</v>
      </c>
      <c r="U213" s="5">
        <v>1</v>
      </c>
    </row>
    <row r="214" spans="1:21" x14ac:dyDescent="0.3">
      <c r="A214" s="2" t="s">
        <v>24</v>
      </c>
      <c r="B214" s="2">
        <v>2014</v>
      </c>
      <c r="C214" s="2" t="s">
        <v>25</v>
      </c>
      <c r="D214" s="8">
        <v>2697.2540389999999</v>
      </c>
      <c r="E214" s="4">
        <f t="shared" si="3"/>
        <v>2371423803.1374731</v>
      </c>
      <c r="F214" s="4"/>
      <c r="G214" s="4"/>
      <c r="H214" s="4"/>
      <c r="I214" s="4">
        <v>269050789.58125418</v>
      </c>
      <c r="J214" s="3">
        <v>7.3022775087026304</v>
      </c>
      <c r="K214" s="4">
        <v>859.35681614123598</v>
      </c>
      <c r="L214" s="4">
        <v>78403242</v>
      </c>
      <c r="M214" s="3">
        <v>18.764317500000001</v>
      </c>
      <c r="N214" s="3">
        <v>24.101570599999999</v>
      </c>
      <c r="O214" s="3">
        <v>27.491657199999999</v>
      </c>
      <c r="P214" s="3">
        <v>35.633192299999997</v>
      </c>
      <c r="Q214" s="3">
        <v>30.271369100000001</v>
      </c>
      <c r="R214" s="3">
        <v>33.253208100000002</v>
      </c>
      <c r="S214" s="2">
        <v>1</v>
      </c>
      <c r="T214" s="2">
        <v>1</v>
      </c>
      <c r="U214" s="2">
        <v>0</v>
      </c>
    </row>
    <row r="215" spans="1:21" x14ac:dyDescent="0.3">
      <c r="A215" s="5" t="s">
        <v>24</v>
      </c>
      <c r="B215" s="5">
        <v>2015</v>
      </c>
      <c r="C215" s="5" t="s">
        <v>25</v>
      </c>
      <c r="D215" s="9">
        <v>3283.929388</v>
      </c>
      <c r="E215" s="7">
        <f t="shared" si="3"/>
        <v>2887228346.2825413</v>
      </c>
      <c r="F215" s="7"/>
      <c r="G215" s="7"/>
      <c r="H215" s="7"/>
      <c r="I215" s="7">
        <v>686967619.4464891</v>
      </c>
      <c r="J215" s="6">
        <v>6.3597375616482879</v>
      </c>
      <c r="K215" s="7">
        <v>910.39313163865666</v>
      </c>
      <c r="L215" s="7">
        <v>81035531</v>
      </c>
      <c r="M215" s="6">
        <v>19.652597</v>
      </c>
      <c r="N215" s="6">
        <v>22.7050622</v>
      </c>
      <c r="O215" s="6">
        <v>31.5476986</v>
      </c>
      <c r="P215" s="6">
        <v>34.911645100000001</v>
      </c>
      <c r="Q215" s="6">
        <v>29.9433623</v>
      </c>
      <c r="R215" s="6">
        <v>33.879527699999997</v>
      </c>
      <c r="S215" s="5">
        <v>0</v>
      </c>
      <c r="T215" s="5">
        <v>0</v>
      </c>
      <c r="U215" s="5">
        <v>0</v>
      </c>
    </row>
    <row r="216" spans="1:21" x14ac:dyDescent="0.3">
      <c r="A216" s="2" t="s">
        <v>24</v>
      </c>
      <c r="B216" s="2">
        <v>2016</v>
      </c>
      <c r="C216" s="2" t="s">
        <v>25</v>
      </c>
      <c r="D216" s="8">
        <v>2711.798538</v>
      </c>
      <c r="E216" s="4">
        <f t="shared" si="3"/>
        <v>2384211316.1542659</v>
      </c>
      <c r="F216" s="4"/>
      <c r="G216" s="4"/>
      <c r="H216" s="4"/>
      <c r="I216" s="4">
        <v>2498275089.3940611</v>
      </c>
      <c r="J216" s="3">
        <v>0.39383279815456262</v>
      </c>
      <c r="K216" s="4">
        <v>950.02229815859653</v>
      </c>
      <c r="L216" s="4">
        <v>83956415</v>
      </c>
      <c r="M216" s="3">
        <v>19.1326851</v>
      </c>
      <c r="N216" s="3">
        <v>24.4177362</v>
      </c>
      <c r="O216" s="3">
        <v>27.9914272</v>
      </c>
      <c r="P216" s="3">
        <v>35.817318899999997</v>
      </c>
      <c r="Q216" s="3">
        <v>30.679961500000001</v>
      </c>
      <c r="R216" s="3">
        <v>32.180669600000002</v>
      </c>
      <c r="S216" s="2">
        <v>1</v>
      </c>
      <c r="T216" s="2">
        <v>1</v>
      </c>
      <c r="U216" s="2">
        <v>0</v>
      </c>
    </row>
    <row r="217" spans="1:21" x14ac:dyDescent="0.3">
      <c r="A217" s="5" t="s">
        <v>24</v>
      </c>
      <c r="B217" s="5">
        <v>2017</v>
      </c>
      <c r="C217" s="5" t="s">
        <v>25</v>
      </c>
      <c r="D217" s="9">
        <v>2929.2054290000001</v>
      </c>
      <c r="E217" s="7">
        <f t="shared" si="3"/>
        <v>2575355297.7106557</v>
      </c>
      <c r="F217" s="7"/>
      <c r="G217" s="7"/>
      <c r="H217" s="7"/>
      <c r="I217" s="7">
        <v>1548301922.5855727</v>
      </c>
      <c r="J217" s="6">
        <v>4.2412104727271904</v>
      </c>
      <c r="K217" s="7">
        <v>990.54505139478067</v>
      </c>
      <c r="L217" s="7">
        <v>87083398</v>
      </c>
      <c r="M217" s="6">
        <v>18.831266299999999</v>
      </c>
      <c r="N217" s="6">
        <v>22.974995700000001</v>
      </c>
      <c r="O217" s="6">
        <v>27.2322679</v>
      </c>
      <c r="P217" s="6">
        <v>34.651322</v>
      </c>
      <c r="Q217" s="6">
        <v>29.434569199999999</v>
      </c>
      <c r="R217" s="6">
        <v>31.091858999999999</v>
      </c>
      <c r="S217" s="5">
        <v>1</v>
      </c>
      <c r="T217" s="5">
        <v>2</v>
      </c>
      <c r="U217" s="5">
        <v>1</v>
      </c>
    </row>
    <row r="218" spans="1:21" x14ac:dyDescent="0.3">
      <c r="A218" s="2" t="s">
        <v>24</v>
      </c>
      <c r="B218" s="2">
        <v>2018</v>
      </c>
      <c r="C218" s="2" t="s">
        <v>25</v>
      </c>
      <c r="D218" s="8">
        <v>3045.768478</v>
      </c>
      <c r="E218" s="4">
        <f t="shared" si="3"/>
        <v>2677837446.2098608</v>
      </c>
      <c r="F218" s="4"/>
      <c r="G218" s="4"/>
      <c r="H218" s="4"/>
      <c r="I218" s="4">
        <v>441914796.25445813</v>
      </c>
      <c r="J218" s="3">
        <v>6.0716887064661478</v>
      </c>
      <c r="K218" s="4">
        <v>1048.865028556721</v>
      </c>
      <c r="L218" s="4">
        <v>90047644</v>
      </c>
      <c r="M218" s="3">
        <v>16.853710899999999</v>
      </c>
      <c r="N218" s="3">
        <v>21.8032194</v>
      </c>
      <c r="O218" s="3">
        <v>33.495510000000003</v>
      </c>
      <c r="P218" s="3">
        <v>34.434666900000003</v>
      </c>
      <c r="Q218" s="3">
        <v>28.447332299999999</v>
      </c>
      <c r="R218" s="3">
        <v>33.169770199999988</v>
      </c>
      <c r="S218" s="2">
        <v>1</v>
      </c>
      <c r="T218" s="2">
        <v>1</v>
      </c>
      <c r="U218" s="2">
        <v>0</v>
      </c>
    </row>
    <row r="219" spans="1:21" x14ac:dyDescent="0.3">
      <c r="A219" s="5" t="s">
        <v>24</v>
      </c>
      <c r="B219" s="5">
        <v>2019</v>
      </c>
      <c r="C219" s="5" t="s">
        <v>25</v>
      </c>
      <c r="D219" s="9">
        <v>3465.9084830000002</v>
      </c>
      <c r="E219" s="7">
        <f t="shared" si="3"/>
        <v>3047224235.1816125</v>
      </c>
      <c r="F219" s="7"/>
      <c r="G219" s="7"/>
      <c r="H219" s="7"/>
      <c r="I219" s="7">
        <v>338303057.62290502</v>
      </c>
      <c r="J219" s="6">
        <v>0.5553842945808185</v>
      </c>
      <c r="K219" s="7">
        <v>1056.1720665924131</v>
      </c>
      <c r="L219" s="7">
        <v>92947442</v>
      </c>
      <c r="M219" s="6">
        <v>16.338205599999998</v>
      </c>
      <c r="N219" s="6">
        <v>20.652759499999998</v>
      </c>
      <c r="O219" s="6">
        <v>37.764442799999998</v>
      </c>
      <c r="P219" s="6">
        <v>33.347489199999998</v>
      </c>
      <c r="Q219" s="6">
        <v>28.580216100000001</v>
      </c>
      <c r="R219" s="6">
        <v>36.218350299999997</v>
      </c>
      <c r="S219" s="5">
        <v>1</v>
      </c>
      <c r="T219" s="5">
        <v>1</v>
      </c>
      <c r="U219" s="5">
        <v>0</v>
      </c>
    </row>
    <row r="220" spans="1:21" x14ac:dyDescent="0.3">
      <c r="A220" s="2" t="s">
        <v>24</v>
      </c>
      <c r="B220" s="2">
        <v>2020</v>
      </c>
      <c r="C220" s="2" t="s">
        <v>25</v>
      </c>
      <c r="D220" s="8">
        <v>3990.568651</v>
      </c>
      <c r="E220" s="4">
        <f t="shared" si="3"/>
        <v>3508505075.9787169</v>
      </c>
      <c r="F220" s="4"/>
      <c r="G220" s="4"/>
      <c r="H220" s="4"/>
      <c r="I220" s="4">
        <v>172530949.16099775</v>
      </c>
      <c r="J220" s="3">
        <v>0.77542799235462212</v>
      </c>
      <c r="K220" s="4">
        <v>1088.7890035636981</v>
      </c>
      <c r="L220" s="4">
        <v>95989998</v>
      </c>
      <c r="M220" s="3">
        <v>18.3567866</v>
      </c>
      <c r="N220" s="3">
        <v>18.6573441</v>
      </c>
      <c r="O220" s="3">
        <v>35.040019800000003</v>
      </c>
      <c r="P220" s="3">
        <v>33.276513100000003</v>
      </c>
      <c r="Q220" s="3">
        <v>29.181103700000001</v>
      </c>
      <c r="R220" s="3">
        <v>37.146055699999998</v>
      </c>
      <c r="S220" s="2">
        <v>1</v>
      </c>
      <c r="T220" s="2">
        <v>1</v>
      </c>
      <c r="U220" s="2">
        <v>0</v>
      </c>
    </row>
    <row r="221" spans="1:21" x14ac:dyDescent="0.3">
      <c r="A221" s="5" t="s">
        <v>24</v>
      </c>
      <c r="B221" s="5">
        <v>2021</v>
      </c>
      <c r="C221" s="5" t="s">
        <v>25</v>
      </c>
      <c r="D221" s="9">
        <v>3927.7788489999998</v>
      </c>
      <c r="E221" s="7">
        <f t="shared" si="3"/>
        <v>3453300327.4069829</v>
      </c>
      <c r="F221" s="7"/>
      <c r="G221" s="7"/>
      <c r="H221" s="7"/>
      <c r="I221" s="7">
        <v>52906976.744185999</v>
      </c>
      <c r="J221" s="6">
        <v>6.4296100564735497</v>
      </c>
      <c r="K221" s="7">
        <v>1402.3856029522101</v>
      </c>
      <c r="L221" s="7">
        <v>99148932</v>
      </c>
      <c r="M221" s="6">
        <v>17.408069900000001</v>
      </c>
      <c r="N221" s="6">
        <v>18.189297400000001</v>
      </c>
      <c r="O221" s="6">
        <v>38.026392600000001</v>
      </c>
      <c r="P221" s="6">
        <v>33.995210399999998</v>
      </c>
      <c r="Q221" s="6">
        <v>30.611225399999999</v>
      </c>
      <c r="R221" s="6">
        <v>36.855309599999998</v>
      </c>
      <c r="S221" s="5">
        <v>1</v>
      </c>
      <c r="T221" s="5">
        <v>1</v>
      </c>
      <c r="U221" s="5">
        <v>0</v>
      </c>
    </row>
    <row r="222" spans="1:21" x14ac:dyDescent="0.3">
      <c r="A222" s="5" t="s">
        <v>26</v>
      </c>
      <c r="B222" s="5">
        <v>2002</v>
      </c>
      <c r="C222" s="5" t="s">
        <v>27</v>
      </c>
      <c r="D222" s="9">
        <v>120.746332</v>
      </c>
      <c r="E222" s="7">
        <f t="shared" si="3"/>
        <v>106160087.89164704</v>
      </c>
      <c r="F222" s="7"/>
      <c r="G222" s="7"/>
      <c r="H222" s="7"/>
      <c r="I222" s="7">
        <v>24158020.227575898</v>
      </c>
      <c r="J222" s="6">
        <v>4.5818700610888916</v>
      </c>
      <c r="K222" s="7">
        <v>3888.1640234334509</v>
      </c>
      <c r="L222" s="7">
        <v>3350771</v>
      </c>
      <c r="M222" s="6">
        <v>27.221647600000001</v>
      </c>
      <c r="N222" s="6">
        <v>25.849381900000001</v>
      </c>
      <c r="O222" s="6">
        <v>34.997939299999999</v>
      </c>
      <c r="P222" s="6">
        <v>40.456433400000002</v>
      </c>
      <c r="Q222" s="6">
        <v>37.497726900000004</v>
      </c>
      <c r="R222" s="6">
        <v>37.888562</v>
      </c>
      <c r="S222" s="5">
        <v>1</v>
      </c>
      <c r="T222" s="5">
        <v>1</v>
      </c>
      <c r="U222" s="5">
        <v>0</v>
      </c>
    </row>
    <row r="223" spans="1:21" x14ac:dyDescent="0.3">
      <c r="A223" s="2" t="s">
        <v>26</v>
      </c>
      <c r="B223" s="2">
        <v>2003</v>
      </c>
      <c r="C223" s="2" t="s">
        <v>27</v>
      </c>
      <c r="D223" s="8">
        <v>107.397972</v>
      </c>
      <c r="E223" s="4">
        <f t="shared" si="3"/>
        <v>94424219.419805214</v>
      </c>
      <c r="F223" s="4"/>
      <c r="G223" s="4"/>
      <c r="H223" s="4"/>
      <c r="I223" s="4">
        <v>660882761.6900928</v>
      </c>
      <c r="J223" s="3">
        <v>0.81326407630378128</v>
      </c>
      <c r="K223" s="4">
        <v>3886.9920679563211</v>
      </c>
      <c r="L223" s="4">
        <v>3445753</v>
      </c>
      <c r="M223" s="3">
        <v>27.192202200000001</v>
      </c>
      <c r="N223" s="3">
        <v>25.6861766</v>
      </c>
      <c r="O223" s="3">
        <v>44.644258899999997</v>
      </c>
      <c r="P223" s="3">
        <v>37.303065599999996</v>
      </c>
      <c r="Q223" s="3">
        <v>37.475499300000003</v>
      </c>
      <c r="R223" s="3">
        <v>38.920974399999999</v>
      </c>
      <c r="S223" s="2">
        <v>0</v>
      </c>
      <c r="T223" s="2">
        <v>0</v>
      </c>
      <c r="U223" s="2">
        <v>0</v>
      </c>
    </row>
    <row r="224" spans="1:21" x14ac:dyDescent="0.3">
      <c r="A224" s="5" t="s">
        <v>26</v>
      </c>
      <c r="B224" s="5">
        <v>2004</v>
      </c>
      <c r="C224" s="5" t="s">
        <v>27</v>
      </c>
      <c r="D224" s="9">
        <v>129.83675299999999</v>
      </c>
      <c r="E224" s="7">
        <f t="shared" si="3"/>
        <v>114152379.46976365</v>
      </c>
      <c r="F224" s="7"/>
      <c r="G224" s="7"/>
      <c r="H224" s="7"/>
      <c r="I224" s="7">
        <v>7971782.4266032204</v>
      </c>
      <c r="J224" s="6">
        <v>3.4766316211808861</v>
      </c>
      <c r="K224" s="7">
        <v>3991.511247297638</v>
      </c>
      <c r="L224" s="7">
        <v>3565554</v>
      </c>
      <c r="M224" s="6">
        <v>28.379364200000001</v>
      </c>
      <c r="N224" s="6">
        <v>29.071609899999999</v>
      </c>
      <c r="O224" s="6">
        <v>45.440271799999998</v>
      </c>
      <c r="P224" s="6">
        <v>39.597018800000001</v>
      </c>
      <c r="Q224" s="6">
        <v>39.244596100000003</v>
      </c>
      <c r="R224" s="6">
        <v>38.1771028</v>
      </c>
      <c r="S224" s="5">
        <v>0</v>
      </c>
      <c r="T224" s="5">
        <v>0</v>
      </c>
      <c r="U224" s="5">
        <v>0</v>
      </c>
    </row>
    <row r="225" spans="1:21" x14ac:dyDescent="0.3">
      <c r="A225" s="2" t="s">
        <v>26</v>
      </c>
      <c r="B225" s="2">
        <v>2005</v>
      </c>
      <c r="C225" s="2" t="s">
        <v>27</v>
      </c>
      <c r="D225" s="8">
        <v>1893.4883139999999</v>
      </c>
      <c r="E225" s="4">
        <f t="shared" si="3"/>
        <v>1664753558.1954286</v>
      </c>
      <c r="F225" s="4"/>
      <c r="G225" s="4"/>
      <c r="H225" s="4"/>
      <c r="I225" s="4">
        <v>1196898883.9456501</v>
      </c>
      <c r="J225" s="3">
        <v>7.7557589780664813</v>
      </c>
      <c r="K225" s="4">
        <v>4278.9253874131873</v>
      </c>
      <c r="L225" s="4">
        <v>3696393</v>
      </c>
      <c r="M225" s="3">
        <v>25.4344152</v>
      </c>
      <c r="N225" s="3">
        <v>26.343382500000001</v>
      </c>
      <c r="O225" s="3">
        <v>44.238500899999998</v>
      </c>
      <c r="P225" s="3">
        <v>35.970806400000001</v>
      </c>
      <c r="Q225" s="3">
        <v>32.199441100000001</v>
      </c>
      <c r="R225" s="3">
        <v>36.601801799999997</v>
      </c>
      <c r="S225" s="2">
        <v>0</v>
      </c>
      <c r="T225" s="2">
        <v>0</v>
      </c>
      <c r="U225" s="2">
        <v>0</v>
      </c>
    </row>
    <row r="226" spans="1:21" x14ac:dyDescent="0.3">
      <c r="A226" s="5" t="s">
        <v>26</v>
      </c>
      <c r="B226" s="5">
        <v>2006</v>
      </c>
      <c r="C226" s="5" t="s">
        <v>27</v>
      </c>
      <c r="D226" s="9">
        <v>487.523031</v>
      </c>
      <c r="E226" s="7">
        <f t="shared" si="3"/>
        <v>428629896.76706839</v>
      </c>
      <c r="F226" s="7"/>
      <c r="G226" s="7"/>
      <c r="H226" s="7"/>
      <c r="I226" s="7">
        <v>791966715.4238416</v>
      </c>
      <c r="J226" s="6">
        <v>7.9862383633429062</v>
      </c>
      <c r="K226" s="7">
        <v>4588.1092489846451</v>
      </c>
      <c r="L226" s="7">
        <v>3837409</v>
      </c>
      <c r="M226" s="6">
        <v>24.785346100000002</v>
      </c>
      <c r="N226" s="6">
        <v>26.288208099999999</v>
      </c>
      <c r="O226" s="6">
        <v>50.8551681</v>
      </c>
      <c r="P226" s="6">
        <v>37.313045799999998</v>
      </c>
      <c r="Q226" s="6">
        <v>35.511374199999999</v>
      </c>
      <c r="R226" s="6">
        <v>36.1346761</v>
      </c>
      <c r="S226" s="5">
        <v>0</v>
      </c>
      <c r="T226" s="5">
        <v>0</v>
      </c>
      <c r="U226" s="5">
        <v>0</v>
      </c>
    </row>
    <row r="227" spans="1:21" x14ac:dyDescent="0.3">
      <c r="A227" s="2" t="s">
        <v>26</v>
      </c>
      <c r="B227" s="2">
        <v>2007</v>
      </c>
      <c r="C227" s="2" t="s">
        <v>27</v>
      </c>
      <c r="D227" s="8">
        <v>146.558817</v>
      </c>
      <c r="E227" s="4">
        <f t="shared" si="3"/>
        <v>128854406.06192338</v>
      </c>
      <c r="F227" s="4"/>
      <c r="G227" s="4"/>
      <c r="H227" s="4"/>
      <c r="I227" s="4">
        <v>1096063396.9153562</v>
      </c>
      <c r="J227" s="3">
        <v>-6.6139948044100123</v>
      </c>
      <c r="K227" s="4">
        <v>4242.6112684600193</v>
      </c>
      <c r="L227" s="4">
        <v>3980430</v>
      </c>
      <c r="M227" s="3">
        <v>25.523478000000001</v>
      </c>
      <c r="N227" s="3">
        <v>25.836638300000001</v>
      </c>
      <c r="O227" s="3">
        <v>51.496091999999997</v>
      </c>
      <c r="P227" s="3">
        <v>37.724963700000004</v>
      </c>
      <c r="Q227" s="3">
        <v>36.5607556</v>
      </c>
      <c r="R227" s="3">
        <v>35.8845691</v>
      </c>
      <c r="S227" s="2">
        <v>0</v>
      </c>
      <c r="T227" s="2">
        <v>0</v>
      </c>
      <c r="U227" s="2">
        <v>0</v>
      </c>
    </row>
    <row r="228" spans="1:21" x14ac:dyDescent="0.3">
      <c r="A228" s="5" t="s">
        <v>26</v>
      </c>
      <c r="B228" s="5">
        <v>2008</v>
      </c>
      <c r="C228" s="5" t="s">
        <v>27</v>
      </c>
      <c r="D228" s="9">
        <v>485.922482</v>
      </c>
      <c r="E228" s="7">
        <f t="shared" si="3"/>
        <v>427222695.2421816</v>
      </c>
      <c r="F228" s="7"/>
      <c r="G228" s="7"/>
      <c r="H228" s="7"/>
      <c r="I228" s="7">
        <v>166583102.54230008</v>
      </c>
      <c r="J228" s="6">
        <v>6.3063759558525874</v>
      </c>
      <c r="K228" s="7">
        <v>4448.3326171425342</v>
      </c>
      <c r="L228" s="7">
        <v>4113517</v>
      </c>
      <c r="M228" s="6">
        <v>23.394366099999999</v>
      </c>
      <c r="N228" s="6">
        <v>29.4228992</v>
      </c>
      <c r="O228" s="6">
        <v>52.251635099999987</v>
      </c>
      <c r="P228" s="6">
        <v>36.843838099999999</v>
      </c>
      <c r="Q228" s="6">
        <v>36.8201897</v>
      </c>
      <c r="R228" s="6">
        <v>36.678555500000002</v>
      </c>
      <c r="S228" s="5">
        <v>0</v>
      </c>
      <c r="T228" s="5">
        <v>0</v>
      </c>
      <c r="U228" s="5">
        <v>0</v>
      </c>
    </row>
    <row r="229" spans="1:21" x14ac:dyDescent="0.3">
      <c r="A229" s="2" t="s">
        <v>26</v>
      </c>
      <c r="B229" s="2">
        <v>2009</v>
      </c>
      <c r="C229" s="2" t="s">
        <v>27</v>
      </c>
      <c r="D229" s="8">
        <v>331.30596600000001</v>
      </c>
      <c r="E229" s="4">
        <f t="shared" si="3"/>
        <v>291283966.03871185</v>
      </c>
      <c r="F229" s="4"/>
      <c r="G229" s="4"/>
      <c r="H229" s="4"/>
      <c r="I229" s="4">
        <v>26967507.495694831</v>
      </c>
      <c r="J229" s="3">
        <v>11.637288861575749</v>
      </c>
      <c r="K229" s="4">
        <v>4800.9015980660224</v>
      </c>
      <c r="L229" s="4">
        <v>4281219</v>
      </c>
      <c r="M229" s="3">
        <v>23.394165699999999</v>
      </c>
      <c r="N229" s="3">
        <v>29.457011699999999</v>
      </c>
      <c r="O229" s="3">
        <v>59.373599899999988</v>
      </c>
      <c r="P229" s="3">
        <v>36.763159399999999</v>
      </c>
      <c r="Q229" s="3">
        <v>36.080740400000003</v>
      </c>
      <c r="R229" s="3">
        <v>36.928142700000002</v>
      </c>
      <c r="S229" s="2">
        <v>0</v>
      </c>
      <c r="T229" s="2">
        <v>0</v>
      </c>
      <c r="U229" s="2">
        <v>0</v>
      </c>
    </row>
    <row r="230" spans="1:21" x14ac:dyDescent="0.3">
      <c r="A230" s="5" t="s">
        <v>26</v>
      </c>
      <c r="B230" s="5">
        <v>2010</v>
      </c>
      <c r="C230" s="5" t="s">
        <v>27</v>
      </c>
      <c r="D230" s="9">
        <v>1472.301228</v>
      </c>
      <c r="E230" s="7">
        <f t="shared" si="3"/>
        <v>1294446176.3646772</v>
      </c>
      <c r="F230" s="7"/>
      <c r="G230" s="7"/>
      <c r="H230" s="7"/>
      <c r="I230" s="7">
        <v>239689624.16172409</v>
      </c>
      <c r="J230" s="6">
        <v>9.9312654309557757</v>
      </c>
      <c r="K230" s="7">
        <v>5125.0699134364277</v>
      </c>
      <c r="L230" s="7">
        <v>4462290</v>
      </c>
      <c r="M230" s="6">
        <v>24.115952499999999</v>
      </c>
      <c r="N230" s="6">
        <v>29.6078546</v>
      </c>
      <c r="O230" s="6">
        <v>56.800986199999997</v>
      </c>
      <c r="P230" s="6">
        <v>37.020560000000003</v>
      </c>
      <c r="Q230" s="6">
        <v>36.018558200000001</v>
      </c>
      <c r="R230" s="6">
        <v>37.640114199999999</v>
      </c>
      <c r="S230" s="5">
        <v>0</v>
      </c>
      <c r="T230" s="5">
        <v>0</v>
      </c>
      <c r="U230" s="5">
        <v>0</v>
      </c>
    </row>
    <row r="231" spans="1:21" x14ac:dyDescent="0.3">
      <c r="A231" s="2" t="s">
        <v>26</v>
      </c>
      <c r="B231" s="2">
        <v>2011</v>
      </c>
      <c r="C231" s="2" t="s">
        <v>27</v>
      </c>
      <c r="D231" s="8">
        <v>363.039759</v>
      </c>
      <c r="E231" s="4">
        <f t="shared" si="3"/>
        <v>319184293.92623168</v>
      </c>
      <c r="F231" s="4"/>
      <c r="G231" s="4"/>
      <c r="H231" s="4"/>
      <c r="I231" s="4">
        <v>229904399.05849344</v>
      </c>
      <c r="J231" s="3">
        <v>2.2059193628671778</v>
      </c>
      <c r="K231" s="4">
        <v>5175.2043908903552</v>
      </c>
      <c r="L231" s="4">
        <v>4609724</v>
      </c>
      <c r="M231" s="3">
        <v>25.129496700000001</v>
      </c>
      <c r="N231" s="3">
        <v>29.889610099999999</v>
      </c>
      <c r="O231" s="3">
        <v>55.215046800000003</v>
      </c>
      <c r="P231" s="3">
        <v>36.623530299999999</v>
      </c>
      <c r="Q231" s="3">
        <v>36.028156600000003</v>
      </c>
      <c r="R231" s="3">
        <v>37.632787700000002</v>
      </c>
      <c r="S231" s="2">
        <v>0</v>
      </c>
      <c r="T231" s="2">
        <v>0</v>
      </c>
      <c r="U231" s="2">
        <v>0</v>
      </c>
    </row>
    <row r="232" spans="1:21" x14ac:dyDescent="0.3">
      <c r="A232" s="5" t="s">
        <v>26</v>
      </c>
      <c r="B232" s="5">
        <v>2012</v>
      </c>
      <c r="C232" s="5" t="s">
        <v>27</v>
      </c>
      <c r="D232" s="9">
        <v>205.59197900000001</v>
      </c>
      <c r="E232" s="7">
        <f t="shared" si="3"/>
        <v>180756319.45869505</v>
      </c>
      <c r="F232" s="7"/>
      <c r="G232" s="7"/>
      <c r="H232" s="7"/>
      <c r="I232" s="7">
        <v>1418677609.2411065</v>
      </c>
      <c r="J232" s="6">
        <v>9.9471531425756439</v>
      </c>
      <c r="K232" s="7">
        <v>6058.0644941741166</v>
      </c>
      <c r="L232" s="7">
        <v>4740450</v>
      </c>
      <c r="M232" s="6">
        <v>23.085779800000001</v>
      </c>
      <c r="N232" s="6">
        <v>30.972060599999999</v>
      </c>
      <c r="O232" s="6">
        <v>54.477183099999998</v>
      </c>
      <c r="P232" s="6">
        <v>37.099648999999999</v>
      </c>
      <c r="Q232" s="6">
        <v>36.370289900000003</v>
      </c>
      <c r="R232" s="6">
        <v>36.871424099999999</v>
      </c>
      <c r="S232" s="5">
        <v>0</v>
      </c>
      <c r="T232" s="5">
        <v>0</v>
      </c>
      <c r="U232" s="5">
        <v>0</v>
      </c>
    </row>
    <row r="233" spans="1:21" x14ac:dyDescent="0.3">
      <c r="A233" s="2" t="s">
        <v>26</v>
      </c>
      <c r="B233" s="2">
        <v>2013</v>
      </c>
      <c r="C233" s="2" t="s">
        <v>27</v>
      </c>
      <c r="D233" s="8">
        <v>183.78608199999999</v>
      </c>
      <c r="E233" s="4">
        <f t="shared" si="3"/>
        <v>161584590.56446907</v>
      </c>
      <c r="F233" s="4"/>
      <c r="G233" s="4"/>
      <c r="H233" s="4"/>
      <c r="I233" s="4">
        <v>711701633.98203278</v>
      </c>
      <c r="J233" s="3">
        <v>-0.71243445187644738</v>
      </c>
      <c r="K233" s="4">
        <v>5833.8633665143607</v>
      </c>
      <c r="L233" s="4">
        <v>4857099</v>
      </c>
      <c r="M233" s="3">
        <v>23.717119400000001</v>
      </c>
      <c r="N233" s="3">
        <v>29.763912300000001</v>
      </c>
      <c r="O233" s="3">
        <v>56.028224899999998</v>
      </c>
      <c r="P233" s="3">
        <v>37.776369099999997</v>
      </c>
      <c r="Q233" s="3">
        <v>36.606479200000003</v>
      </c>
      <c r="R233" s="3">
        <v>37.466438799999999</v>
      </c>
      <c r="S233" s="2">
        <v>0</v>
      </c>
      <c r="T233" s="2">
        <v>0</v>
      </c>
      <c r="U233" s="2">
        <v>0</v>
      </c>
    </row>
    <row r="234" spans="1:21" x14ac:dyDescent="0.3">
      <c r="A234" s="5" t="s">
        <v>26</v>
      </c>
      <c r="B234" s="5">
        <v>2014</v>
      </c>
      <c r="C234" s="5" t="s">
        <v>27</v>
      </c>
      <c r="D234" s="9">
        <v>129.61409699999999</v>
      </c>
      <c r="E234" s="7">
        <f t="shared" si="3"/>
        <v>113956620.47536536</v>
      </c>
      <c r="F234" s="7"/>
      <c r="G234" s="7"/>
      <c r="H234" s="7"/>
      <c r="I234" s="7">
        <v>454479125.94218445</v>
      </c>
      <c r="J234" s="6">
        <v>6.6460654092844749</v>
      </c>
      <c r="K234" s="7">
        <v>5733.1839356125602</v>
      </c>
      <c r="L234" s="7">
        <v>4975880</v>
      </c>
      <c r="M234" s="6">
        <v>22.040112300000001</v>
      </c>
      <c r="N234" s="6">
        <v>33.269536899999999</v>
      </c>
      <c r="O234" s="6">
        <v>57.793039499999999</v>
      </c>
      <c r="P234" s="6">
        <v>38.444539499999998</v>
      </c>
      <c r="Q234" s="6">
        <v>37.568335500000003</v>
      </c>
      <c r="R234" s="6">
        <v>37.1922833</v>
      </c>
      <c r="S234" s="5">
        <v>0</v>
      </c>
      <c r="T234" s="5">
        <v>0</v>
      </c>
      <c r="U234" s="5">
        <v>0</v>
      </c>
    </row>
    <row r="235" spans="1:21" x14ac:dyDescent="0.3">
      <c r="A235" s="2" t="s">
        <v>26</v>
      </c>
      <c r="B235" s="2">
        <v>2015</v>
      </c>
      <c r="C235" s="2" t="s">
        <v>27</v>
      </c>
      <c r="D235" s="8">
        <v>155.53093799999999</v>
      </c>
      <c r="E235" s="4">
        <f t="shared" si="3"/>
        <v>136742688.36547604</v>
      </c>
      <c r="F235" s="4"/>
      <c r="G235" s="4"/>
      <c r="H235" s="4"/>
      <c r="I235" s="4">
        <v>8978204.5566316191</v>
      </c>
      <c r="J235" s="3">
        <v>0.41519306129376332</v>
      </c>
      <c r="K235" s="4">
        <v>4715.1343158162426</v>
      </c>
      <c r="L235" s="4">
        <v>5097581</v>
      </c>
      <c r="M235" s="3">
        <v>21.907736700000001</v>
      </c>
      <c r="N235" s="3">
        <v>35.101169400000003</v>
      </c>
      <c r="O235" s="3">
        <v>52.942841999999999</v>
      </c>
      <c r="P235" s="3">
        <v>39.3563343</v>
      </c>
      <c r="Q235" s="3">
        <v>38.442983499999997</v>
      </c>
      <c r="R235" s="3">
        <v>38.703941700000001</v>
      </c>
      <c r="S235" s="2">
        <v>0</v>
      </c>
      <c r="T235" s="2">
        <v>0</v>
      </c>
      <c r="U235" s="2">
        <v>0</v>
      </c>
    </row>
    <row r="236" spans="1:21" x14ac:dyDescent="0.3">
      <c r="A236" s="5" t="s">
        <v>26</v>
      </c>
      <c r="B236" s="5">
        <v>2016</v>
      </c>
      <c r="C236" s="5" t="s">
        <v>27</v>
      </c>
      <c r="D236" s="9">
        <v>141.032273</v>
      </c>
      <c r="E236" s="7">
        <f t="shared" si="3"/>
        <v>123995472.56838213</v>
      </c>
      <c r="F236" s="7"/>
      <c r="G236" s="7"/>
      <c r="H236" s="7"/>
      <c r="I236" s="7">
        <v>1317194.7740105027</v>
      </c>
      <c r="J236" s="6">
        <v>-8.6852434391378637</v>
      </c>
      <c r="K236" s="7">
        <v>4016.049085253183</v>
      </c>
      <c r="L236" s="7">
        <v>5222536</v>
      </c>
      <c r="M236" s="6">
        <v>22.152892000000001</v>
      </c>
      <c r="N236" s="6">
        <v>35.545628600000001</v>
      </c>
      <c r="O236" s="6">
        <v>52.898609200000003</v>
      </c>
      <c r="P236" s="6">
        <v>38.0938935</v>
      </c>
      <c r="Q236" s="6">
        <v>37.224030200000001</v>
      </c>
      <c r="R236" s="6">
        <v>36.974433300000001</v>
      </c>
      <c r="S236" s="5">
        <v>1</v>
      </c>
      <c r="T236" s="5">
        <v>1</v>
      </c>
      <c r="U236" s="5">
        <v>0</v>
      </c>
    </row>
    <row r="237" spans="1:21" x14ac:dyDescent="0.3">
      <c r="A237" s="2" t="s">
        <v>26</v>
      </c>
      <c r="B237" s="2">
        <v>2017</v>
      </c>
      <c r="C237" s="2" t="s">
        <v>27</v>
      </c>
      <c r="D237" s="8">
        <v>166.33336</v>
      </c>
      <c r="E237" s="4">
        <f t="shared" si="3"/>
        <v>146240169.98638904</v>
      </c>
      <c r="F237" s="4"/>
      <c r="G237" s="4"/>
      <c r="H237" s="4"/>
      <c r="I237" s="4">
        <v>518652926.45315623</v>
      </c>
      <c r="J237" s="3">
        <v>-5.5947737191554694</v>
      </c>
      <c r="K237" s="4">
        <v>4444.6390021582447</v>
      </c>
      <c r="L237" s="4">
        <v>5351011</v>
      </c>
      <c r="M237" s="3">
        <v>21.450263799999998</v>
      </c>
      <c r="N237" s="3">
        <v>34.452266000000002</v>
      </c>
      <c r="O237" s="3">
        <v>52.7489317</v>
      </c>
      <c r="P237" s="3">
        <v>36.149685900000001</v>
      </c>
      <c r="Q237" s="3">
        <v>36.559578299999998</v>
      </c>
      <c r="R237" s="3">
        <v>36.904369099999997</v>
      </c>
      <c r="S237" s="2">
        <v>0</v>
      </c>
      <c r="T237" s="2">
        <v>0</v>
      </c>
      <c r="U237" s="2">
        <v>0</v>
      </c>
    </row>
    <row r="238" spans="1:21" x14ac:dyDescent="0.3">
      <c r="A238" s="5" t="s">
        <v>26</v>
      </c>
      <c r="B238" s="5">
        <v>2018</v>
      </c>
      <c r="C238" s="5" t="s">
        <v>27</v>
      </c>
      <c r="D238" s="9">
        <v>176.720519</v>
      </c>
      <c r="E238" s="7">
        <f t="shared" si="3"/>
        <v>155372552.67760414</v>
      </c>
      <c r="F238" s="7"/>
      <c r="G238" s="7"/>
      <c r="H238" s="7"/>
      <c r="I238" s="7">
        <v>51025051.089723729</v>
      </c>
      <c r="J238" s="6">
        <v>-2.3043178012584211</v>
      </c>
      <c r="K238" s="7">
        <v>5593.1937057868563</v>
      </c>
      <c r="L238" s="7">
        <v>5483118</v>
      </c>
      <c r="M238" s="6">
        <v>20.136689499999999</v>
      </c>
      <c r="N238" s="6">
        <v>32.3426501</v>
      </c>
      <c r="O238" s="6">
        <v>54.114219599999998</v>
      </c>
      <c r="P238" s="6">
        <v>36.382462599999997</v>
      </c>
      <c r="Q238" s="6">
        <v>36.227589000000002</v>
      </c>
      <c r="R238" s="6">
        <v>35.650060199999999</v>
      </c>
      <c r="S238" s="5">
        <v>0</v>
      </c>
      <c r="T238" s="5">
        <v>0</v>
      </c>
      <c r="U238" s="5">
        <v>0</v>
      </c>
    </row>
    <row r="239" spans="1:21" x14ac:dyDescent="0.3">
      <c r="A239" s="2" t="s">
        <v>26</v>
      </c>
      <c r="B239" s="2">
        <v>2019</v>
      </c>
      <c r="C239" s="2" t="s">
        <v>27</v>
      </c>
      <c r="D239" s="8">
        <v>244.594572</v>
      </c>
      <c r="E239" s="4">
        <f t="shared" si="3"/>
        <v>215047371.05670249</v>
      </c>
      <c r="F239" s="4"/>
      <c r="G239" s="4"/>
      <c r="H239" s="4"/>
      <c r="I239" s="4">
        <v>49309377.879490815</v>
      </c>
      <c r="J239" s="3">
        <v>1.1244739197652931</v>
      </c>
      <c r="K239" s="4">
        <v>5719.5997733829117</v>
      </c>
      <c r="L239" s="4">
        <v>5616661</v>
      </c>
      <c r="M239" s="3">
        <v>17.599463700000001</v>
      </c>
      <c r="N239" s="3">
        <v>33.023039199999999</v>
      </c>
      <c r="O239" s="3">
        <v>55.707239399999999</v>
      </c>
      <c r="P239" s="3">
        <v>35.695254499999997</v>
      </c>
      <c r="Q239" s="3">
        <v>35.926231299999998</v>
      </c>
      <c r="R239" s="3">
        <v>34.363847799999988</v>
      </c>
      <c r="S239" s="2">
        <v>0</v>
      </c>
      <c r="T239" s="2">
        <v>0</v>
      </c>
      <c r="U239" s="2">
        <v>0</v>
      </c>
    </row>
    <row r="240" spans="1:21" x14ac:dyDescent="0.3">
      <c r="A240" s="5" t="s">
        <v>26</v>
      </c>
      <c r="B240" s="5">
        <v>2020</v>
      </c>
      <c r="C240" s="5" t="s">
        <v>27</v>
      </c>
      <c r="D240" s="9">
        <v>260.03043300000002</v>
      </c>
      <c r="E240" s="7">
        <f t="shared" si="3"/>
        <v>228618568.9001554</v>
      </c>
      <c r="F240" s="7"/>
      <c r="G240" s="7"/>
      <c r="H240" s="7"/>
      <c r="I240" s="7">
        <v>224199.4440442574</v>
      </c>
      <c r="J240" s="6">
        <v>-6.2677722796322541</v>
      </c>
      <c r="K240" s="7">
        <v>4770.9644975836527</v>
      </c>
      <c r="L240" s="7">
        <v>5752791</v>
      </c>
      <c r="M240" s="6">
        <v>20.1187109</v>
      </c>
      <c r="N240" s="6">
        <v>28.522117999999999</v>
      </c>
      <c r="O240" s="6">
        <v>56.058322699999998</v>
      </c>
      <c r="P240" s="6">
        <v>34.0353566</v>
      </c>
      <c r="Q240" s="6">
        <v>35.469624500000002</v>
      </c>
      <c r="R240" s="6">
        <v>35.421213399999999</v>
      </c>
      <c r="S240" s="5">
        <v>0</v>
      </c>
      <c r="T240" s="5">
        <v>0</v>
      </c>
      <c r="U240" s="5">
        <v>0</v>
      </c>
    </row>
    <row r="241" spans="1:21" x14ac:dyDescent="0.3">
      <c r="A241" s="2" t="s">
        <v>26</v>
      </c>
      <c r="B241" s="2">
        <v>2021</v>
      </c>
      <c r="C241" s="2" t="s">
        <v>27</v>
      </c>
      <c r="D241" s="8">
        <v>232.07763299999999</v>
      </c>
      <c r="E241" s="4">
        <f t="shared" si="3"/>
        <v>204042487.32761014</v>
      </c>
      <c r="F241" s="4"/>
      <c r="G241" s="4"/>
      <c r="H241" s="4"/>
      <c r="I241" s="4">
        <v>6253446.3419472342</v>
      </c>
      <c r="J241" s="3">
        <v>1.0150703699090831</v>
      </c>
      <c r="K241" s="4">
        <v>6263.2116129263632</v>
      </c>
      <c r="L241" s="4">
        <v>5892183</v>
      </c>
      <c r="M241" s="3">
        <v>20.6671169</v>
      </c>
      <c r="N241" s="3">
        <v>28.2100045</v>
      </c>
      <c r="O241" s="3">
        <v>57.056033300000003</v>
      </c>
      <c r="P241" s="3">
        <v>36.546250299999997</v>
      </c>
      <c r="Q241" s="3">
        <v>35.7384609</v>
      </c>
      <c r="R241" s="3">
        <v>34.579552</v>
      </c>
      <c r="S241" s="2">
        <v>0</v>
      </c>
      <c r="T241" s="2">
        <v>0</v>
      </c>
      <c r="U241" s="2">
        <v>0</v>
      </c>
    </row>
    <row r="242" spans="1:21" x14ac:dyDescent="0.3">
      <c r="A242" s="2" t="s">
        <v>28</v>
      </c>
      <c r="B242" s="2">
        <v>2002</v>
      </c>
      <c r="C242" s="2" t="s">
        <v>29</v>
      </c>
      <c r="D242" s="8">
        <v>1765.008707</v>
      </c>
      <c r="E242" s="4">
        <f t="shared" si="3"/>
        <v>1551794380.5087371</v>
      </c>
      <c r="F242" s="4">
        <v>57377247.471934013</v>
      </c>
      <c r="G242" s="4"/>
      <c r="H242" s="4"/>
      <c r="I242" s="4">
        <v>57377247.471934013</v>
      </c>
      <c r="J242" s="3">
        <v>-2.7305264744190079</v>
      </c>
      <c r="K242" s="4">
        <v>2851.03041356835</v>
      </c>
      <c r="L242" s="4">
        <v>18654771</v>
      </c>
      <c r="M242" s="3">
        <v>32.4204206</v>
      </c>
      <c r="N242" s="3">
        <v>25.795811700000002</v>
      </c>
      <c r="O242" s="3">
        <v>26.891247499999999</v>
      </c>
      <c r="P242" s="3">
        <v>45.8889292</v>
      </c>
      <c r="Q242" s="3">
        <v>33.234916200000001</v>
      </c>
      <c r="R242" s="3">
        <v>33.7660275</v>
      </c>
      <c r="S242" s="2">
        <v>1</v>
      </c>
      <c r="T242" s="2">
        <v>1</v>
      </c>
      <c r="U242" s="2">
        <v>0</v>
      </c>
    </row>
    <row r="243" spans="1:21" x14ac:dyDescent="0.3">
      <c r="A243" s="5" t="s">
        <v>28</v>
      </c>
      <c r="B243" s="5">
        <v>2003</v>
      </c>
      <c r="C243" s="5" t="s">
        <v>29</v>
      </c>
      <c r="D243" s="9">
        <v>577.39568899999995</v>
      </c>
      <c r="E243" s="7">
        <f t="shared" si="3"/>
        <v>507645872.77481931</v>
      </c>
      <c r="F243" s="7">
        <v>0</v>
      </c>
      <c r="G243" s="7"/>
      <c r="H243" s="7"/>
      <c r="I243" s="7">
        <v>0</v>
      </c>
      <c r="J243" s="6">
        <v>-4.7258665863068066</v>
      </c>
      <c r="K243" s="7">
        <v>2701.7416848785078</v>
      </c>
      <c r="L243" s="7">
        <v>19125542</v>
      </c>
      <c r="M243" s="6">
        <v>30.007498099999999</v>
      </c>
      <c r="N243" s="6">
        <v>25.698286299999999</v>
      </c>
      <c r="O243" s="6">
        <v>30.583076699999999</v>
      </c>
      <c r="P243" s="6">
        <v>44.520269599999999</v>
      </c>
      <c r="Q243" s="6">
        <v>33.2189671</v>
      </c>
      <c r="R243" s="6">
        <v>33.6002212</v>
      </c>
      <c r="S243" s="5">
        <v>1</v>
      </c>
      <c r="T243" s="5">
        <v>1</v>
      </c>
      <c r="U243" s="5">
        <v>0</v>
      </c>
    </row>
    <row r="244" spans="1:21" x14ac:dyDescent="0.3">
      <c r="A244" s="2" t="s">
        <v>28</v>
      </c>
      <c r="B244" s="2">
        <v>2004</v>
      </c>
      <c r="C244" s="2" t="s">
        <v>29</v>
      </c>
      <c r="D244" s="8">
        <v>417.12991299999999</v>
      </c>
      <c r="E244" s="4">
        <f t="shared" si="3"/>
        <v>366740318.25923359</v>
      </c>
      <c r="F244" s="4"/>
      <c r="G244" s="4"/>
      <c r="H244" s="4"/>
      <c r="I244" s="4"/>
      <c r="J244" s="3">
        <v>3.1850382257539711</v>
      </c>
      <c r="K244" s="4">
        <v>2794.1732571936582</v>
      </c>
      <c r="L244" s="4">
        <v>19595000</v>
      </c>
      <c r="M244" s="3">
        <v>24.213646199999999</v>
      </c>
      <c r="N244" s="3">
        <v>19.9016798</v>
      </c>
      <c r="O244" s="3">
        <v>28.203901800000001</v>
      </c>
      <c r="P244" s="3">
        <v>36.246356800000001</v>
      </c>
      <c r="Q244" s="3">
        <v>32.023139899999997</v>
      </c>
      <c r="R244" s="3">
        <v>31.527201900000001</v>
      </c>
      <c r="S244" s="2">
        <v>1</v>
      </c>
      <c r="T244" s="2">
        <v>1</v>
      </c>
      <c r="U244" s="2">
        <v>0</v>
      </c>
    </row>
    <row r="245" spans="1:21" x14ac:dyDescent="0.3">
      <c r="A245" s="5" t="s">
        <v>28</v>
      </c>
      <c r="B245" s="5">
        <v>2005</v>
      </c>
      <c r="C245" s="5" t="s">
        <v>29</v>
      </c>
      <c r="D245" s="9">
        <v>308.28844600000002</v>
      </c>
      <c r="E245" s="7">
        <f t="shared" si="3"/>
        <v>271046979.07791752</v>
      </c>
      <c r="F245" s="7"/>
      <c r="G245" s="7"/>
      <c r="H245" s="7"/>
      <c r="I245" s="7"/>
      <c r="J245" s="6">
        <v>0.99606556485478848</v>
      </c>
      <c r="K245" s="7">
        <v>2841.823087981727</v>
      </c>
      <c r="L245" s="7">
        <v>20068458</v>
      </c>
      <c r="M245" s="6">
        <v>22.142914999999999</v>
      </c>
      <c r="N245" s="6">
        <v>21.5027723</v>
      </c>
      <c r="O245" s="6">
        <v>25.775649900000001</v>
      </c>
      <c r="P245" s="6">
        <v>37.266791400000002</v>
      </c>
      <c r="Q245" s="6">
        <v>30.449525699999999</v>
      </c>
      <c r="R245" s="6">
        <v>32.344886700000004</v>
      </c>
      <c r="S245" s="5">
        <v>0</v>
      </c>
      <c r="T245" s="5">
        <v>0</v>
      </c>
      <c r="U245" s="5">
        <v>0</v>
      </c>
    </row>
    <row r="246" spans="1:21" x14ac:dyDescent="0.3">
      <c r="A246" s="2" t="s">
        <v>28</v>
      </c>
      <c r="B246" s="2">
        <v>2006</v>
      </c>
      <c r="C246" s="2" t="s">
        <v>29</v>
      </c>
      <c r="D246" s="8">
        <v>401.726494</v>
      </c>
      <c r="E246" s="4">
        <f t="shared" si="3"/>
        <v>353197643.39875114</v>
      </c>
      <c r="F246" s="4">
        <v>6084204.0068527134</v>
      </c>
      <c r="G246" s="4"/>
      <c r="H246" s="4"/>
      <c r="I246" s="4">
        <v>6084204.0068527134</v>
      </c>
      <c r="J246" s="3">
        <v>2.8155785925232659</v>
      </c>
      <c r="K246" s="4">
        <v>2941.8214116891249</v>
      </c>
      <c r="L246" s="4">
        <v>20546802</v>
      </c>
      <c r="M246" s="3">
        <v>24.7179033</v>
      </c>
      <c r="N246" s="3">
        <v>24.5400527</v>
      </c>
      <c r="O246" s="3">
        <v>33.308729599999999</v>
      </c>
      <c r="P246" s="3">
        <v>39.861148999999997</v>
      </c>
      <c r="Q246" s="3">
        <v>32.323489000000002</v>
      </c>
      <c r="R246" s="3">
        <v>35.600710200000002</v>
      </c>
      <c r="S246" s="2">
        <v>0</v>
      </c>
      <c r="T246" s="2">
        <v>0</v>
      </c>
      <c r="U246" s="2">
        <v>0</v>
      </c>
    </row>
    <row r="247" spans="1:21" x14ac:dyDescent="0.3">
      <c r="A247" s="5" t="s">
        <v>28</v>
      </c>
      <c r="B247" s="5">
        <v>2007</v>
      </c>
      <c r="C247" s="5" t="s">
        <v>29</v>
      </c>
      <c r="D247" s="9">
        <v>332.485615</v>
      </c>
      <c r="E247" s="7">
        <f t="shared" si="3"/>
        <v>292321112.58757174</v>
      </c>
      <c r="F247" s="7">
        <v>44831863.767432898</v>
      </c>
      <c r="G247" s="7"/>
      <c r="H247" s="7"/>
      <c r="I247" s="7">
        <v>44831863.767432898</v>
      </c>
      <c r="J247" s="6">
        <v>1.1014297679347751</v>
      </c>
      <c r="K247" s="7">
        <v>2984.5347216156179</v>
      </c>
      <c r="L247" s="7">
        <v>21030558</v>
      </c>
      <c r="M247" s="6">
        <v>26.486975000000001</v>
      </c>
      <c r="N247" s="6">
        <v>24.088482800000001</v>
      </c>
      <c r="O247" s="6">
        <v>33.014914099999999</v>
      </c>
      <c r="P247" s="6">
        <v>39.627963899999997</v>
      </c>
      <c r="Q247" s="6">
        <v>32.799638600000002</v>
      </c>
      <c r="R247" s="6">
        <v>36.256908299999999</v>
      </c>
      <c r="S247" s="5">
        <v>0</v>
      </c>
      <c r="T247" s="5">
        <v>0</v>
      </c>
      <c r="U247" s="5">
        <v>0</v>
      </c>
    </row>
    <row r="248" spans="1:21" x14ac:dyDescent="0.3">
      <c r="A248" s="2" t="s">
        <v>28</v>
      </c>
      <c r="B248" s="2">
        <v>2008</v>
      </c>
      <c r="C248" s="2" t="s">
        <v>29</v>
      </c>
      <c r="D248" s="8">
        <v>878.00761399999999</v>
      </c>
      <c r="E248" s="4">
        <f t="shared" si="3"/>
        <v>771943660.13350451</v>
      </c>
      <c r="F248" s="4">
        <v>54219751.369735792</v>
      </c>
      <c r="G248" s="4"/>
      <c r="H248" s="4"/>
      <c r="I248" s="4">
        <v>54219751.369735792</v>
      </c>
      <c r="J248" s="3">
        <v>4.7826659787671986</v>
      </c>
      <c r="K248" s="4">
        <v>3115.8378918774529</v>
      </c>
      <c r="L248" s="4">
        <v>21514439</v>
      </c>
      <c r="M248" s="3">
        <v>29.288850700000001</v>
      </c>
      <c r="N248" s="3">
        <v>24.885248199999999</v>
      </c>
      <c r="O248" s="3">
        <v>34.6103971</v>
      </c>
      <c r="P248" s="3">
        <v>40.136967499999997</v>
      </c>
      <c r="Q248" s="3">
        <v>32.9774338</v>
      </c>
      <c r="R248" s="3">
        <v>37.235381400000001</v>
      </c>
      <c r="S248" s="2">
        <v>0</v>
      </c>
      <c r="T248" s="2">
        <v>0</v>
      </c>
      <c r="U248" s="2">
        <v>0</v>
      </c>
    </row>
    <row r="249" spans="1:21" x14ac:dyDescent="0.3">
      <c r="A249" s="5" t="s">
        <v>28</v>
      </c>
      <c r="B249" s="5">
        <v>2009</v>
      </c>
      <c r="C249" s="5" t="s">
        <v>29</v>
      </c>
      <c r="D249" s="9">
        <v>2725.102402</v>
      </c>
      <c r="E249" s="7">
        <f t="shared" si="3"/>
        <v>2395908063.7750425</v>
      </c>
      <c r="F249" s="7">
        <v>10988860.5810971</v>
      </c>
      <c r="G249" s="7"/>
      <c r="H249" s="7"/>
      <c r="I249" s="7">
        <v>10988860.5810971</v>
      </c>
      <c r="J249" s="6">
        <v>3.6033215666705298</v>
      </c>
      <c r="K249" s="7">
        <v>3176.6324242061742</v>
      </c>
      <c r="L249" s="7">
        <v>21997940</v>
      </c>
      <c r="M249" s="6">
        <v>29.3271902</v>
      </c>
      <c r="N249" s="6">
        <v>29.006637699999999</v>
      </c>
      <c r="O249" s="6">
        <v>49.485819900000003</v>
      </c>
      <c r="P249" s="6">
        <v>40.7155232</v>
      </c>
      <c r="Q249" s="6">
        <v>35.877058599999998</v>
      </c>
      <c r="R249" s="6">
        <v>38.302957999999997</v>
      </c>
      <c r="S249" s="5">
        <v>0</v>
      </c>
      <c r="T249" s="5">
        <v>0</v>
      </c>
      <c r="U249" s="5">
        <v>0</v>
      </c>
    </row>
    <row r="250" spans="1:21" x14ac:dyDescent="0.3">
      <c r="A250" s="2" t="s">
        <v>28</v>
      </c>
      <c r="B250" s="2">
        <v>2010</v>
      </c>
      <c r="C250" s="2" t="s">
        <v>29</v>
      </c>
      <c r="D250" s="8">
        <v>1035.8050109999999</v>
      </c>
      <c r="E250" s="4">
        <f t="shared" si="3"/>
        <v>910679017.61494851</v>
      </c>
      <c r="F250" s="4">
        <v>39503619.253734797</v>
      </c>
      <c r="G250" s="4"/>
      <c r="H250" s="4"/>
      <c r="I250" s="4">
        <v>39503619.253734797</v>
      </c>
      <c r="J250" s="3">
        <v>6.8480493990701348</v>
      </c>
      <c r="K250" s="4">
        <v>3360.5440882605471</v>
      </c>
      <c r="L250" s="4">
        <v>22488065</v>
      </c>
      <c r="M250" s="3">
        <v>27.4978534</v>
      </c>
      <c r="N250" s="3">
        <v>27.008105499999999</v>
      </c>
      <c r="O250" s="3">
        <v>34.295246599999999</v>
      </c>
      <c r="P250" s="3">
        <v>39.809737400000003</v>
      </c>
      <c r="Q250" s="3">
        <v>35.307370599999999</v>
      </c>
      <c r="R250" s="3">
        <v>38.909126899999997</v>
      </c>
      <c r="S250" s="2">
        <v>0</v>
      </c>
      <c r="T250" s="2">
        <v>0</v>
      </c>
      <c r="U250" s="2">
        <v>0</v>
      </c>
    </row>
    <row r="251" spans="1:21" x14ac:dyDescent="0.3">
      <c r="A251" s="5" t="s">
        <v>28</v>
      </c>
      <c r="B251" s="5">
        <v>2011</v>
      </c>
      <c r="C251" s="5" t="s">
        <v>29</v>
      </c>
      <c r="D251" s="9">
        <v>1596.9647150000001</v>
      </c>
      <c r="E251" s="7">
        <f t="shared" si="3"/>
        <v>1404050224.103363</v>
      </c>
      <c r="F251" s="7">
        <v>21572510.594526399</v>
      </c>
      <c r="G251" s="7">
        <v>141162301.940258</v>
      </c>
      <c r="H251" s="7"/>
      <c r="I251" s="7">
        <v>162734812.53478441</v>
      </c>
      <c r="J251" s="6">
        <v>-5.3704472400057881</v>
      </c>
      <c r="K251" s="7">
        <v>3175.9192237075949</v>
      </c>
      <c r="L251" s="7">
        <v>22982000</v>
      </c>
      <c r="M251" s="6">
        <v>29.487875599999999</v>
      </c>
      <c r="N251" s="6">
        <v>27.841991400000001</v>
      </c>
      <c r="O251" s="6">
        <v>37.888877200000003</v>
      </c>
      <c r="P251" s="6">
        <v>40.012931600000002</v>
      </c>
      <c r="Q251" s="6">
        <v>33.863595699999998</v>
      </c>
      <c r="R251" s="6">
        <v>38.8771621</v>
      </c>
      <c r="S251" s="5">
        <v>1</v>
      </c>
      <c r="T251" s="5">
        <v>1</v>
      </c>
      <c r="U251" s="5">
        <v>0</v>
      </c>
    </row>
    <row r="252" spans="1:21" x14ac:dyDescent="0.3">
      <c r="A252" s="2" t="s">
        <v>28</v>
      </c>
      <c r="B252" s="2">
        <v>2012</v>
      </c>
      <c r="C252" s="2" t="s">
        <v>29</v>
      </c>
      <c r="D252" s="8">
        <v>3337.4750349999999</v>
      </c>
      <c r="E252" s="4">
        <f t="shared" si="3"/>
        <v>2934305640.4543848</v>
      </c>
      <c r="F252" s="4">
        <v>178309511.2494038</v>
      </c>
      <c r="G252" s="4"/>
      <c r="H252" s="4"/>
      <c r="I252" s="4">
        <v>178309511.2494038</v>
      </c>
      <c r="J252" s="3">
        <v>7.6204117645164899</v>
      </c>
      <c r="K252" s="4">
        <v>3290.7230694945711</v>
      </c>
      <c r="L252" s="4">
        <v>23467078</v>
      </c>
      <c r="M252" s="3">
        <v>30.952093600000001</v>
      </c>
      <c r="N252" s="3">
        <v>30.600596199999998</v>
      </c>
      <c r="O252" s="3">
        <v>39.945406200000001</v>
      </c>
      <c r="P252" s="3">
        <v>42.278869999999998</v>
      </c>
      <c r="Q252" s="3">
        <v>39.077581700000003</v>
      </c>
      <c r="R252" s="3">
        <v>42.176815400000002</v>
      </c>
      <c r="S252" s="2">
        <v>0</v>
      </c>
      <c r="T252" s="2">
        <v>0</v>
      </c>
      <c r="U252" s="2">
        <v>0</v>
      </c>
    </row>
    <row r="253" spans="1:21" x14ac:dyDescent="0.3">
      <c r="A253" s="5" t="s">
        <v>28</v>
      </c>
      <c r="B253" s="5">
        <v>2013</v>
      </c>
      <c r="C253" s="5" t="s">
        <v>29</v>
      </c>
      <c r="D253" s="9">
        <v>2226.6611899999998</v>
      </c>
      <c r="E253" s="7">
        <f t="shared" si="3"/>
        <v>1957678910.1578619</v>
      </c>
      <c r="F253" s="7">
        <v>4495173.9543872997</v>
      </c>
      <c r="G253" s="7">
        <v>564018276.09491706</v>
      </c>
      <c r="H253" s="7"/>
      <c r="I253" s="7">
        <v>568513450.04930437</v>
      </c>
      <c r="J253" s="6">
        <v>10.76021313112558</v>
      </c>
      <c r="K253" s="7">
        <v>3619.0179085486488</v>
      </c>
      <c r="L253" s="7">
        <v>23939775</v>
      </c>
      <c r="M253" s="6">
        <v>32.553512699999999</v>
      </c>
      <c r="N253" s="6">
        <v>33.377983899999997</v>
      </c>
      <c r="O253" s="6">
        <v>45.2489852</v>
      </c>
      <c r="P253" s="6">
        <v>43.6630818</v>
      </c>
      <c r="Q253" s="6">
        <v>40.827621099999988</v>
      </c>
      <c r="R253" s="6">
        <v>42.7566396</v>
      </c>
      <c r="S253" s="5">
        <v>0</v>
      </c>
      <c r="T253" s="5">
        <v>0</v>
      </c>
      <c r="U253" s="5">
        <v>0</v>
      </c>
    </row>
    <row r="254" spans="1:21" x14ac:dyDescent="0.3">
      <c r="A254" s="2" t="s">
        <v>28</v>
      </c>
      <c r="B254" s="2">
        <v>2014</v>
      </c>
      <c r="C254" s="2" t="s">
        <v>29</v>
      </c>
      <c r="D254" s="8">
        <v>1290.862384</v>
      </c>
      <c r="E254" s="4">
        <f t="shared" si="3"/>
        <v>1134925275.7546375</v>
      </c>
      <c r="F254" s="4">
        <v>183671212.34735081</v>
      </c>
      <c r="G254" s="4">
        <v>878358285.64717996</v>
      </c>
      <c r="H254" s="4">
        <v>22392061.2711781</v>
      </c>
      <c r="I254" s="4">
        <v>1084421559.2657089</v>
      </c>
      <c r="J254" s="3">
        <v>9.3719999424037468</v>
      </c>
      <c r="K254" s="4">
        <v>4074.2144553978928</v>
      </c>
      <c r="L254" s="4">
        <v>24527395</v>
      </c>
      <c r="M254" s="3">
        <v>39.250248300000003</v>
      </c>
      <c r="N254" s="3">
        <v>37.305003200000002</v>
      </c>
      <c r="O254" s="3">
        <v>48.1807412</v>
      </c>
      <c r="P254" s="3">
        <v>46.209300399999997</v>
      </c>
      <c r="Q254" s="3">
        <v>45.612277499999998</v>
      </c>
      <c r="R254" s="3">
        <v>44.8808711</v>
      </c>
      <c r="S254" s="2">
        <v>0</v>
      </c>
      <c r="T254" s="2">
        <v>0</v>
      </c>
      <c r="U254" s="2">
        <v>0</v>
      </c>
    </row>
    <row r="255" spans="1:21" x14ac:dyDescent="0.3">
      <c r="A255" s="5" t="s">
        <v>28</v>
      </c>
      <c r="B255" s="5">
        <v>2015</v>
      </c>
      <c r="C255" s="5" t="s">
        <v>29</v>
      </c>
      <c r="D255" s="9">
        <v>1168.393286</v>
      </c>
      <c r="E255" s="7">
        <f t="shared" si="3"/>
        <v>1027250533.2399688</v>
      </c>
      <c r="F255" s="7">
        <v>237499651.87673989</v>
      </c>
      <c r="G255" s="7">
        <v>675589568.66675103</v>
      </c>
      <c r="H255" s="7"/>
      <c r="I255" s="7">
        <v>913089220.54349089</v>
      </c>
      <c r="J255" s="6">
        <v>7.1949494272819123</v>
      </c>
      <c r="K255" s="7">
        <v>4403.6429661899847</v>
      </c>
      <c r="L255" s="7">
        <v>25246342</v>
      </c>
      <c r="M255" s="6">
        <v>39.135810800000002</v>
      </c>
      <c r="N255" s="6">
        <v>39.674836499999998</v>
      </c>
      <c r="O255" s="6">
        <v>52.504905699999988</v>
      </c>
      <c r="P255" s="6">
        <v>47.831799500000002</v>
      </c>
      <c r="Q255" s="6">
        <v>45.060963600000001</v>
      </c>
      <c r="R255" s="6">
        <v>46.301353900000002</v>
      </c>
      <c r="S255" s="5">
        <v>0</v>
      </c>
      <c r="T255" s="5">
        <v>0</v>
      </c>
      <c r="U255" s="5">
        <v>0</v>
      </c>
    </row>
    <row r="256" spans="1:21" x14ac:dyDescent="0.3">
      <c r="A256" s="2" t="s">
        <v>28</v>
      </c>
      <c r="B256" s="2">
        <v>2016</v>
      </c>
      <c r="C256" s="2" t="s">
        <v>29</v>
      </c>
      <c r="D256" s="8">
        <v>1172.1888859999999</v>
      </c>
      <c r="E256" s="4">
        <f t="shared" si="3"/>
        <v>1030587622.0187941</v>
      </c>
      <c r="F256" s="4">
        <v>41215663.791850977</v>
      </c>
      <c r="G256" s="4">
        <v>67432541.418358803</v>
      </c>
      <c r="H256" s="4"/>
      <c r="I256" s="4">
        <v>108648205.2102098</v>
      </c>
      <c r="J256" s="3">
        <v>7.1727596395633242</v>
      </c>
      <c r="K256" s="4">
        <v>4530.6484980848754</v>
      </c>
      <c r="L256" s="4">
        <v>25989405</v>
      </c>
      <c r="M256" s="3">
        <v>38.312589600000003</v>
      </c>
      <c r="N256" s="3">
        <v>39.4727587</v>
      </c>
      <c r="O256" s="3">
        <v>51.114745199999987</v>
      </c>
      <c r="P256" s="3">
        <v>47.867111700000002</v>
      </c>
      <c r="Q256" s="3">
        <v>45.261907099999988</v>
      </c>
      <c r="R256" s="3">
        <v>45.852353800000003</v>
      </c>
      <c r="S256" s="2">
        <v>0</v>
      </c>
      <c r="T256" s="2">
        <v>0</v>
      </c>
      <c r="U256" s="2">
        <v>0</v>
      </c>
    </row>
    <row r="257" spans="1:21" x14ac:dyDescent="0.3">
      <c r="A257" s="5" t="s">
        <v>28</v>
      </c>
      <c r="B257" s="5">
        <v>2017</v>
      </c>
      <c r="C257" s="5" t="s">
        <v>29</v>
      </c>
      <c r="D257" s="9">
        <v>1590.9419499999999</v>
      </c>
      <c r="E257" s="7">
        <f t="shared" si="3"/>
        <v>1398755013.4649913</v>
      </c>
      <c r="F257" s="7">
        <v>164193061.586723</v>
      </c>
      <c r="G257" s="7">
        <v>0</v>
      </c>
      <c r="H257" s="7"/>
      <c r="I257" s="7">
        <v>164193061.586723</v>
      </c>
      <c r="J257" s="6">
        <v>7.4107624259250429</v>
      </c>
      <c r="K257" s="7">
        <v>4690.178018610959</v>
      </c>
      <c r="L257" s="7">
        <v>26733372</v>
      </c>
      <c r="M257" s="6">
        <v>38.444029999999998</v>
      </c>
      <c r="N257" s="6">
        <v>39.754516099999996</v>
      </c>
      <c r="O257" s="6">
        <v>48.110035400000001</v>
      </c>
      <c r="P257" s="6">
        <v>48.471969399999999</v>
      </c>
      <c r="Q257" s="6">
        <v>45.016183099999999</v>
      </c>
      <c r="R257" s="6">
        <v>46.416170200000003</v>
      </c>
      <c r="S257" s="5">
        <v>0</v>
      </c>
      <c r="T257" s="5">
        <v>0</v>
      </c>
      <c r="U257" s="5">
        <v>0</v>
      </c>
    </row>
    <row r="258" spans="1:21" x14ac:dyDescent="0.3">
      <c r="A258" s="2" t="s">
        <v>28</v>
      </c>
      <c r="B258" s="2">
        <v>2018</v>
      </c>
      <c r="C258" s="2" t="s">
        <v>29</v>
      </c>
      <c r="D258" s="8">
        <v>1422.171308</v>
      </c>
      <c r="E258" s="4">
        <f t="shared" si="3"/>
        <v>1250371986.9044023</v>
      </c>
      <c r="F258" s="4">
        <v>357874502.04765719</v>
      </c>
      <c r="G258" s="4">
        <v>246541240.3162002</v>
      </c>
      <c r="H258" s="4">
        <v>740382738.9555037</v>
      </c>
      <c r="I258" s="4">
        <v>1344798481.319361</v>
      </c>
      <c r="J258" s="3">
        <v>4.8431460588917759</v>
      </c>
      <c r="K258" s="4">
        <v>4945.6252057591528</v>
      </c>
      <c r="L258" s="4">
        <v>27464173</v>
      </c>
      <c r="M258" s="3">
        <v>38.074745499999999</v>
      </c>
      <c r="N258" s="3">
        <v>41.464396000000001</v>
      </c>
      <c r="O258" s="3">
        <v>50.208887500000003</v>
      </c>
      <c r="P258" s="3">
        <v>50.174468999999988</v>
      </c>
      <c r="Q258" s="3">
        <v>46.240986199999988</v>
      </c>
      <c r="R258" s="3">
        <v>48.434711299999996</v>
      </c>
      <c r="S258" s="2">
        <v>0</v>
      </c>
      <c r="T258" s="2">
        <v>0</v>
      </c>
      <c r="U258" s="2">
        <v>0</v>
      </c>
    </row>
    <row r="259" spans="1:21" x14ac:dyDescent="0.3">
      <c r="A259" s="5" t="s">
        <v>28</v>
      </c>
      <c r="B259" s="5">
        <v>2019</v>
      </c>
      <c r="C259" s="5" t="s">
        <v>29</v>
      </c>
      <c r="D259" s="9">
        <v>1471.1017670000001</v>
      </c>
      <c r="E259" s="7">
        <f t="shared" ref="E259:E302" si="4">(D259*0.879199277802054)*1000000</f>
        <v>1293391611.1197257</v>
      </c>
      <c r="F259" s="7">
        <v>361794286.97678697</v>
      </c>
      <c r="G259" s="7">
        <v>1013594076.890559</v>
      </c>
      <c r="H259" s="7">
        <v>15281445.617241399</v>
      </c>
      <c r="I259" s="7">
        <v>1390669809.484587</v>
      </c>
      <c r="J259" s="6">
        <v>6.721371675849781</v>
      </c>
      <c r="K259" s="7">
        <v>5516.3905512682904</v>
      </c>
      <c r="L259" s="7">
        <v>28193009</v>
      </c>
      <c r="M259" s="6">
        <v>37.124781900000002</v>
      </c>
      <c r="N259" s="6">
        <v>41.829743299999997</v>
      </c>
      <c r="O259" s="6">
        <v>48.582848899999988</v>
      </c>
      <c r="P259" s="6">
        <v>49.878056200000003</v>
      </c>
      <c r="Q259" s="6">
        <v>46.640018099999999</v>
      </c>
      <c r="R259" s="6">
        <v>48.724198899999998</v>
      </c>
      <c r="S259" s="5">
        <v>0</v>
      </c>
      <c r="T259" s="5">
        <v>0</v>
      </c>
      <c r="U259" s="5">
        <v>0</v>
      </c>
    </row>
    <row r="260" spans="1:21" x14ac:dyDescent="0.3">
      <c r="A260" s="2" t="s">
        <v>28</v>
      </c>
      <c r="B260" s="2">
        <v>2020</v>
      </c>
      <c r="C260" s="2" t="s">
        <v>29</v>
      </c>
      <c r="D260" s="8">
        <v>1946.411347</v>
      </c>
      <c r="E260" s="4">
        <f t="shared" si="4"/>
        <v>1711283450.5881231</v>
      </c>
      <c r="F260" s="4">
        <v>1519587.22200966</v>
      </c>
      <c r="G260" s="4">
        <v>478186342.84855801</v>
      </c>
      <c r="H260" s="4">
        <v>636629525.45606303</v>
      </c>
      <c r="I260" s="4">
        <v>1116335455.5266311</v>
      </c>
      <c r="J260" s="3">
        <v>0.69972859349422833</v>
      </c>
      <c r="K260" s="4">
        <v>5543.8509631893894</v>
      </c>
      <c r="L260" s="4">
        <v>28915449</v>
      </c>
      <c r="M260" s="3">
        <v>38.010948200000001</v>
      </c>
      <c r="N260" s="3">
        <v>41.859947699999999</v>
      </c>
      <c r="O260" s="3">
        <v>45.957980900000003</v>
      </c>
      <c r="P260" s="3">
        <v>49.797019499999998</v>
      </c>
      <c r="Q260" s="3">
        <v>46.322799000000003</v>
      </c>
      <c r="R260" s="3">
        <v>45.178457199999997</v>
      </c>
      <c r="S260" s="2">
        <v>0</v>
      </c>
      <c r="T260" s="2">
        <v>0</v>
      </c>
      <c r="U260" s="2">
        <v>0</v>
      </c>
    </row>
    <row r="261" spans="1:21" x14ac:dyDescent="0.3">
      <c r="A261" s="5" t="s">
        <v>28</v>
      </c>
      <c r="B261" s="5">
        <v>2021</v>
      </c>
      <c r="C261" s="5" t="s">
        <v>29</v>
      </c>
      <c r="D261" s="9">
        <v>1862.2340799999999</v>
      </c>
      <c r="E261" s="7">
        <f t="shared" si="4"/>
        <v>1637274858.2343724</v>
      </c>
      <c r="F261" s="7">
        <v>16531200</v>
      </c>
      <c r="G261" s="7">
        <v>0</v>
      </c>
      <c r="H261" s="7">
        <v>69816654.736750007</v>
      </c>
      <c r="I261" s="7">
        <v>86347854.736750007</v>
      </c>
      <c r="J261" s="6">
        <v>7.0633291020523217</v>
      </c>
      <c r="K261" s="7">
        <v>6045.2048049087944</v>
      </c>
      <c r="L261" s="7">
        <v>29639736</v>
      </c>
      <c r="M261" s="6">
        <v>38.809351199999988</v>
      </c>
      <c r="N261" s="6">
        <v>41.606852600000003</v>
      </c>
      <c r="O261" s="6">
        <v>50.596320400000003</v>
      </c>
      <c r="P261" s="6">
        <v>50.3026275</v>
      </c>
      <c r="Q261" s="6">
        <v>45.730156999999998</v>
      </c>
      <c r="R261" s="6">
        <v>44.448431900000003</v>
      </c>
      <c r="S261" s="5">
        <v>0</v>
      </c>
      <c r="T261" s="5">
        <v>0</v>
      </c>
      <c r="U261" s="5">
        <v>0</v>
      </c>
    </row>
    <row r="262" spans="1:21" x14ac:dyDescent="0.3">
      <c r="A262" s="5" t="s">
        <v>30</v>
      </c>
      <c r="B262" s="5">
        <v>2002</v>
      </c>
      <c r="C262" s="5" t="s">
        <v>31</v>
      </c>
      <c r="D262" s="9">
        <v>37.179273000000002</v>
      </c>
      <c r="E262" s="7">
        <f t="shared" si="4"/>
        <v>32687989.970805403</v>
      </c>
      <c r="F262" s="7">
        <v>14996729.4120219</v>
      </c>
      <c r="G262" s="7"/>
      <c r="H262" s="7"/>
      <c r="I262" s="7">
        <v>14996729.4120219</v>
      </c>
      <c r="J262" s="6">
        <v>19.462834035925098</v>
      </c>
      <c r="K262" s="7">
        <v>13254.823622223979</v>
      </c>
      <c r="L262" s="7">
        <v>797957</v>
      </c>
      <c r="M262" s="6">
        <v>19.024166099999999</v>
      </c>
      <c r="N262" s="6">
        <v>24.793186599999999</v>
      </c>
      <c r="O262" s="6">
        <v>57.289680599999997</v>
      </c>
      <c r="P262" s="6">
        <v>30.988724999999999</v>
      </c>
      <c r="Q262" s="6">
        <v>34.087023299999998</v>
      </c>
      <c r="R262" s="6">
        <v>26.941805299999999</v>
      </c>
      <c r="S262" s="5">
        <v>0</v>
      </c>
      <c r="T262" s="5">
        <v>0</v>
      </c>
      <c r="U262" s="5">
        <v>0</v>
      </c>
    </row>
    <row r="263" spans="1:21" x14ac:dyDescent="0.3">
      <c r="A263" s="2" t="s">
        <v>30</v>
      </c>
      <c r="B263" s="2">
        <v>2003</v>
      </c>
      <c r="C263" s="2" t="s">
        <v>31</v>
      </c>
      <c r="D263" s="8">
        <v>31.497214</v>
      </c>
      <c r="E263" s="4">
        <f t="shared" si="4"/>
        <v>27692327.801576745</v>
      </c>
      <c r="F263" s="4">
        <v>25016667.384544101</v>
      </c>
      <c r="G263" s="4"/>
      <c r="H263" s="4"/>
      <c r="I263" s="4">
        <v>25016667.384544101</v>
      </c>
      <c r="J263" s="3">
        <v>13.955250316382489</v>
      </c>
      <c r="K263" s="4">
        <v>14496.17441196883</v>
      </c>
      <c r="L263" s="4">
        <v>847862</v>
      </c>
      <c r="M263" s="3">
        <v>19.0026717</v>
      </c>
      <c r="N263" s="3">
        <v>24.640903000000002</v>
      </c>
      <c r="O263" s="3">
        <v>61.414827299999999</v>
      </c>
      <c r="P263" s="3">
        <v>30.989228099999998</v>
      </c>
      <c r="Q263" s="3">
        <v>34.072409700000001</v>
      </c>
      <c r="R263" s="3">
        <v>26.0546322</v>
      </c>
      <c r="S263" s="2">
        <v>0</v>
      </c>
      <c r="T263" s="2">
        <v>0</v>
      </c>
      <c r="U263" s="2">
        <v>0</v>
      </c>
    </row>
    <row r="264" spans="1:21" x14ac:dyDescent="0.3">
      <c r="A264" s="5" t="s">
        <v>30</v>
      </c>
      <c r="B264" s="5">
        <v>2004</v>
      </c>
      <c r="C264" s="5" t="s">
        <v>31</v>
      </c>
      <c r="D264" s="9">
        <v>38.978459000000001</v>
      </c>
      <c r="E264" s="7">
        <f t="shared" si="4"/>
        <v>34269833.002636969</v>
      </c>
      <c r="F264" s="7"/>
      <c r="G264" s="7">
        <v>8568033.8548322003</v>
      </c>
      <c r="H264" s="7"/>
      <c r="I264" s="7">
        <v>8568033.8548322003</v>
      </c>
      <c r="J264" s="6">
        <v>37.998726855642268</v>
      </c>
      <c r="K264" s="7">
        <v>19354.212082155671</v>
      </c>
      <c r="L264" s="7">
        <v>899917</v>
      </c>
      <c r="M264" s="6">
        <v>19.418841700000002</v>
      </c>
      <c r="N264" s="6">
        <v>24.621634</v>
      </c>
      <c r="O264" s="6">
        <v>57.712199099999999</v>
      </c>
      <c r="P264" s="6">
        <v>29.865295199999998</v>
      </c>
      <c r="Q264" s="6">
        <v>34.152169299999997</v>
      </c>
      <c r="R264" s="6">
        <v>26.070405399999999</v>
      </c>
      <c r="S264" s="5">
        <v>0</v>
      </c>
      <c r="T264" s="5">
        <v>0</v>
      </c>
      <c r="U264" s="5">
        <v>0</v>
      </c>
    </row>
    <row r="265" spans="1:21" x14ac:dyDescent="0.3">
      <c r="A265" s="2" t="s">
        <v>30</v>
      </c>
      <c r="B265" s="2">
        <v>2005</v>
      </c>
      <c r="C265" s="2" t="s">
        <v>31</v>
      </c>
      <c r="D265" s="8">
        <v>48.164701999999998</v>
      </c>
      <c r="E265" s="4">
        <f t="shared" si="4"/>
        <v>42346371.213951141</v>
      </c>
      <c r="F265" s="4">
        <v>9333919.6605698895</v>
      </c>
      <c r="G265" s="4">
        <v>10594687.4694323</v>
      </c>
      <c r="H265" s="4"/>
      <c r="I265" s="4">
        <v>19928607.130002189</v>
      </c>
      <c r="J265" s="3">
        <v>16.74870060535412</v>
      </c>
      <c r="K265" s="4">
        <v>22137.0497795007</v>
      </c>
      <c r="L265" s="4">
        <v>947367</v>
      </c>
      <c r="M265" s="3">
        <v>17.375082299999999</v>
      </c>
      <c r="N265" s="3">
        <v>24.048451499999999</v>
      </c>
      <c r="O265" s="3">
        <v>54.950968600000003</v>
      </c>
      <c r="P265" s="3">
        <v>29.4711374</v>
      </c>
      <c r="Q265" s="3">
        <v>33.198777199999988</v>
      </c>
      <c r="R265" s="3">
        <v>26.570729799999999</v>
      </c>
      <c r="S265" s="2">
        <v>0</v>
      </c>
      <c r="T265" s="2">
        <v>0</v>
      </c>
      <c r="U265" s="2">
        <v>0</v>
      </c>
    </row>
    <row r="266" spans="1:21" x14ac:dyDescent="0.3">
      <c r="A266" s="5" t="s">
        <v>30</v>
      </c>
      <c r="B266" s="5">
        <v>2006</v>
      </c>
      <c r="C266" s="5" t="s">
        <v>31</v>
      </c>
      <c r="D266" s="9">
        <v>38.365054000000001</v>
      </c>
      <c r="E266" s="7">
        <f t="shared" si="4"/>
        <v>33730527.769636802</v>
      </c>
      <c r="F266" s="7">
        <v>34786968.339594699</v>
      </c>
      <c r="G266" s="7">
        <v>0</v>
      </c>
      <c r="H266" s="7"/>
      <c r="I266" s="7">
        <v>34786968.339594699</v>
      </c>
      <c r="J266" s="6">
        <v>7.7049176065876708</v>
      </c>
      <c r="K266" s="7">
        <v>23511.398657089991</v>
      </c>
      <c r="L266" s="7">
        <v>990343</v>
      </c>
      <c r="M266" s="6">
        <v>20.329783599999999</v>
      </c>
      <c r="N266" s="6">
        <v>24.018865399999999</v>
      </c>
      <c r="O266" s="6">
        <v>67.605277799999996</v>
      </c>
      <c r="P266" s="6">
        <v>30.127747400000001</v>
      </c>
      <c r="Q266" s="6">
        <v>36.187016499999999</v>
      </c>
      <c r="R266" s="6">
        <v>27.016780700000002</v>
      </c>
      <c r="S266" s="5">
        <v>0</v>
      </c>
      <c r="T266" s="5">
        <v>0</v>
      </c>
      <c r="U266" s="5">
        <v>0</v>
      </c>
    </row>
    <row r="267" spans="1:21" x14ac:dyDescent="0.3">
      <c r="A267" s="2" t="s">
        <v>30</v>
      </c>
      <c r="B267" s="2">
        <v>2007</v>
      </c>
      <c r="C267" s="2" t="s">
        <v>31</v>
      </c>
      <c r="D267" s="8">
        <v>34.073321999999997</v>
      </c>
      <c r="E267" s="4">
        <f t="shared" si="4"/>
        <v>29957240.094716836</v>
      </c>
      <c r="F267" s="4">
        <v>730250.015076312</v>
      </c>
      <c r="G267" s="4">
        <v>1064236303.30391</v>
      </c>
      <c r="H267" s="4"/>
      <c r="I267" s="4">
        <v>1064966553.3189861</v>
      </c>
      <c r="J267" s="3">
        <v>15.28211391948572</v>
      </c>
      <c r="K267" s="4">
        <v>26610.769121961879</v>
      </c>
      <c r="L267" s="4">
        <v>1036044</v>
      </c>
      <c r="M267" s="3">
        <v>20.293411599999999</v>
      </c>
      <c r="N267" s="3">
        <v>24.063606100000001</v>
      </c>
      <c r="O267" s="3">
        <v>67.669856499999995</v>
      </c>
      <c r="P267" s="3">
        <v>30.0347276</v>
      </c>
      <c r="Q267" s="3">
        <v>37.321072800000003</v>
      </c>
      <c r="R267" s="3">
        <v>25.178846100000001</v>
      </c>
      <c r="S267" s="2">
        <v>0</v>
      </c>
      <c r="T267" s="2">
        <v>0</v>
      </c>
      <c r="U267" s="2">
        <v>0</v>
      </c>
    </row>
    <row r="268" spans="1:21" x14ac:dyDescent="0.3">
      <c r="A268" s="5" t="s">
        <v>30</v>
      </c>
      <c r="B268" s="5">
        <v>2008</v>
      </c>
      <c r="C268" s="5" t="s">
        <v>31</v>
      </c>
      <c r="D268" s="9">
        <v>35.084865000000001</v>
      </c>
      <c r="E268" s="7">
        <f t="shared" si="4"/>
        <v>30846587.969782561</v>
      </c>
      <c r="F268" s="7">
        <v>219361.41914340699</v>
      </c>
      <c r="G268" s="7">
        <v>174980172.729626</v>
      </c>
      <c r="H268" s="7"/>
      <c r="I268" s="7">
        <v>175199534.14876941</v>
      </c>
      <c r="J268" s="6">
        <v>17.79910913338114</v>
      </c>
      <c r="K268" s="7">
        <v>30522.77871427744</v>
      </c>
      <c r="L268" s="7">
        <v>1084530</v>
      </c>
      <c r="M268" s="6">
        <v>20.303080900000001</v>
      </c>
      <c r="N268" s="6">
        <v>24.098504299999998</v>
      </c>
      <c r="O268" s="6">
        <v>64.757156699999996</v>
      </c>
      <c r="P268" s="6">
        <v>29.890854399999998</v>
      </c>
      <c r="Q268" s="6">
        <v>38.052994099999999</v>
      </c>
      <c r="R268" s="6">
        <v>24.831124200000001</v>
      </c>
      <c r="S268" s="5">
        <v>0</v>
      </c>
      <c r="T268" s="5">
        <v>0</v>
      </c>
      <c r="U268" s="5">
        <v>0</v>
      </c>
    </row>
    <row r="269" spans="1:21" x14ac:dyDescent="0.3">
      <c r="A269" s="2" t="s">
        <v>30</v>
      </c>
      <c r="B269" s="2">
        <v>2009</v>
      </c>
      <c r="C269" s="2" t="s">
        <v>31</v>
      </c>
      <c r="D269" s="8">
        <v>35.470686000000001</v>
      </c>
      <c r="E269" s="4">
        <f t="shared" si="4"/>
        <v>31185801.514343429</v>
      </c>
      <c r="F269" s="4">
        <v>1586694.3016150719</v>
      </c>
      <c r="G269" s="4">
        <v>1454339087.1651919</v>
      </c>
      <c r="H269" s="4"/>
      <c r="I269" s="4">
        <v>1455925781.4668069</v>
      </c>
      <c r="J269" s="3">
        <v>1.343356288060946</v>
      </c>
      <c r="K269" s="4">
        <v>29722.000563106609</v>
      </c>
      <c r="L269" s="4">
        <v>1135673</v>
      </c>
      <c r="M269" s="3">
        <v>22.179778899999999</v>
      </c>
      <c r="N269" s="3">
        <v>24.762177300000001</v>
      </c>
      <c r="O269" s="3">
        <v>69.585084899999998</v>
      </c>
      <c r="P269" s="3">
        <v>30.660703099999999</v>
      </c>
      <c r="Q269" s="3">
        <v>35.725117399999988</v>
      </c>
      <c r="R269" s="3">
        <v>26.877184400000001</v>
      </c>
      <c r="S269" s="2">
        <v>0</v>
      </c>
      <c r="T269" s="2">
        <v>0</v>
      </c>
      <c r="U269" s="2">
        <v>0</v>
      </c>
    </row>
    <row r="270" spans="1:21" x14ac:dyDescent="0.3">
      <c r="A270" s="5" t="s">
        <v>30</v>
      </c>
      <c r="B270" s="5">
        <v>2010</v>
      </c>
      <c r="C270" s="5" t="s">
        <v>31</v>
      </c>
      <c r="D270" s="9">
        <v>92.885480999999999</v>
      </c>
      <c r="E270" s="7">
        <f t="shared" si="4"/>
        <v>81664847.813496411</v>
      </c>
      <c r="F270" s="7">
        <v>205748.016946535</v>
      </c>
      <c r="G270" s="7">
        <v>1504827689.69611</v>
      </c>
      <c r="H270" s="7"/>
      <c r="I270" s="7">
        <v>1505033437.713057</v>
      </c>
      <c r="J270" s="6">
        <v>-8.9241758885180644</v>
      </c>
      <c r="K270" s="7">
        <v>26167.826852527622</v>
      </c>
      <c r="L270" s="7">
        <v>1189085</v>
      </c>
      <c r="M270" s="6">
        <v>22.3303577</v>
      </c>
      <c r="N270" s="6">
        <v>25.727322000000001</v>
      </c>
      <c r="O270" s="6">
        <v>68.081348899999995</v>
      </c>
      <c r="P270" s="6">
        <v>29.665393999999999</v>
      </c>
      <c r="Q270" s="6">
        <v>35.814650899999997</v>
      </c>
      <c r="R270" s="6">
        <v>25.963841500000001</v>
      </c>
      <c r="S270" s="5">
        <v>0</v>
      </c>
      <c r="T270" s="5">
        <v>0</v>
      </c>
      <c r="U270" s="5">
        <v>0</v>
      </c>
    </row>
    <row r="271" spans="1:21" x14ac:dyDescent="0.3">
      <c r="A271" s="2" t="s">
        <v>30</v>
      </c>
      <c r="B271" s="2">
        <v>2011</v>
      </c>
      <c r="C271" s="2" t="s">
        <v>31</v>
      </c>
      <c r="D271" s="8">
        <v>28.594543999999999</v>
      </c>
      <c r="E271" s="4">
        <f t="shared" si="4"/>
        <v>25140302.433879055</v>
      </c>
      <c r="F271" s="4">
        <v>0</v>
      </c>
      <c r="G271" s="4">
        <v>473647757.57752341</v>
      </c>
      <c r="H271" s="4"/>
      <c r="I271" s="4">
        <v>473647757.57752341</v>
      </c>
      <c r="J271" s="3">
        <v>6.5239236298987322</v>
      </c>
      <c r="K271" s="4">
        <v>27241.600037060271</v>
      </c>
      <c r="L271" s="4">
        <v>1241835</v>
      </c>
      <c r="M271" s="3">
        <v>22.315739199999999</v>
      </c>
      <c r="N271" s="3">
        <v>25.6566489</v>
      </c>
      <c r="O271" s="3">
        <v>64.860351800000004</v>
      </c>
      <c r="P271" s="3">
        <v>29.9583008</v>
      </c>
      <c r="Q271" s="3">
        <v>35.848089600000002</v>
      </c>
      <c r="R271" s="3">
        <v>26.0588783</v>
      </c>
      <c r="S271" s="2">
        <v>0</v>
      </c>
      <c r="T271" s="2">
        <v>0</v>
      </c>
      <c r="U271" s="2">
        <v>0</v>
      </c>
    </row>
    <row r="272" spans="1:21" x14ac:dyDescent="0.3">
      <c r="A272" s="5" t="s">
        <v>30</v>
      </c>
      <c r="B272" s="5">
        <v>2012</v>
      </c>
      <c r="C272" s="5" t="s">
        <v>31</v>
      </c>
      <c r="D272" s="9">
        <v>21.529126999999999</v>
      </c>
      <c r="E272" s="7">
        <f t="shared" si="4"/>
        <v>18928392.9101087</v>
      </c>
      <c r="F272" s="7">
        <v>0</v>
      </c>
      <c r="G272" s="7">
        <v>591758273.19462502</v>
      </c>
      <c r="H272" s="7"/>
      <c r="I272" s="7">
        <v>591758273.19462502</v>
      </c>
      <c r="J272" s="6">
        <v>8.31287184445641</v>
      </c>
      <c r="K272" s="7">
        <v>30011.927440962521</v>
      </c>
      <c r="L272" s="7">
        <v>1293483</v>
      </c>
      <c r="M272" s="6">
        <v>22.285360699999998</v>
      </c>
      <c r="N272" s="6">
        <v>25.660074900000001</v>
      </c>
      <c r="O272" s="6">
        <v>64.567149499999999</v>
      </c>
      <c r="P272" s="6">
        <v>29.218796300000001</v>
      </c>
      <c r="Q272" s="6">
        <v>35.064052599999997</v>
      </c>
      <c r="R272" s="6">
        <v>25.9073645</v>
      </c>
      <c r="S272" s="5">
        <v>0</v>
      </c>
      <c r="T272" s="5">
        <v>0</v>
      </c>
      <c r="U272" s="5">
        <v>0</v>
      </c>
    </row>
    <row r="273" spans="1:21" x14ac:dyDescent="0.3">
      <c r="A273" s="2" t="s">
        <v>30</v>
      </c>
      <c r="B273" s="2">
        <v>2013</v>
      </c>
      <c r="C273" s="2" t="s">
        <v>31</v>
      </c>
      <c r="D273" s="8">
        <v>10.571577</v>
      </c>
      <c r="E273" s="4">
        <f t="shared" si="4"/>
        <v>9294522.8636288047</v>
      </c>
      <c r="F273" s="4">
        <v>0</v>
      </c>
      <c r="G273" s="4">
        <v>229160625.57736501</v>
      </c>
      <c r="H273" s="4">
        <v>209479948.56951499</v>
      </c>
      <c r="I273" s="4">
        <v>438640574.14687997</v>
      </c>
      <c r="J273" s="3">
        <v>-4.1331985013158317</v>
      </c>
      <c r="K273" s="4">
        <v>27909.5175876754</v>
      </c>
      <c r="L273" s="4">
        <v>1346218</v>
      </c>
      <c r="M273" s="3">
        <v>21.339170200000002</v>
      </c>
      <c r="N273" s="3">
        <v>25.031799700000001</v>
      </c>
      <c r="O273" s="3">
        <v>62.511190999999997</v>
      </c>
      <c r="P273" s="3">
        <v>29.074602899999999</v>
      </c>
      <c r="Q273" s="3">
        <v>32.677662900000001</v>
      </c>
      <c r="R273" s="3">
        <v>25.4447282</v>
      </c>
      <c r="S273" s="2">
        <v>0</v>
      </c>
      <c r="T273" s="2">
        <v>0</v>
      </c>
      <c r="U273" s="2">
        <v>0</v>
      </c>
    </row>
    <row r="274" spans="1:21" x14ac:dyDescent="0.3">
      <c r="A274" s="5" t="s">
        <v>30</v>
      </c>
      <c r="B274" s="5">
        <v>2014</v>
      </c>
      <c r="C274" s="5" t="s">
        <v>31</v>
      </c>
      <c r="D274" s="9">
        <v>9.8425419999999999</v>
      </c>
      <c r="E274" s="7">
        <f t="shared" si="4"/>
        <v>8653555.8181363847</v>
      </c>
      <c r="F274" s="7">
        <v>110709.523140848</v>
      </c>
      <c r="G274" s="7">
        <v>0</v>
      </c>
      <c r="H274" s="7"/>
      <c r="I274" s="7">
        <v>110709.523140848</v>
      </c>
      <c r="J274" s="6">
        <v>0.41506630159686608</v>
      </c>
      <c r="K274" s="7">
        <v>27177.271665026019</v>
      </c>
      <c r="L274" s="7">
        <v>1399828</v>
      </c>
      <c r="M274" s="6">
        <v>15.6714333</v>
      </c>
      <c r="N274" s="6">
        <v>32.334917300000001</v>
      </c>
      <c r="O274" s="6">
        <v>56.334655099999999</v>
      </c>
      <c r="P274" s="6">
        <v>30.589253899999999</v>
      </c>
      <c r="Q274" s="6">
        <v>31.432723200000002</v>
      </c>
      <c r="R274" s="6">
        <v>26.1729822</v>
      </c>
      <c r="S274" s="5">
        <v>0</v>
      </c>
      <c r="T274" s="5">
        <v>0</v>
      </c>
      <c r="U274" s="5">
        <v>0</v>
      </c>
    </row>
    <row r="275" spans="1:21" x14ac:dyDescent="0.3">
      <c r="A275" s="2" t="s">
        <v>30</v>
      </c>
      <c r="B275" s="2">
        <v>2015</v>
      </c>
      <c r="C275" s="2" t="s">
        <v>31</v>
      </c>
      <c r="D275" s="8">
        <v>12.963585999999999</v>
      </c>
      <c r="E275" s="4">
        <f t="shared" si="4"/>
        <v>11397575.448924817</v>
      </c>
      <c r="F275" s="4">
        <v>0</v>
      </c>
      <c r="G275" s="4">
        <v>934893327.49948907</v>
      </c>
      <c r="H275" s="4"/>
      <c r="I275" s="4">
        <v>934893327.49948907</v>
      </c>
      <c r="J275" s="3">
        <v>-9.1100411488153696</v>
      </c>
      <c r="K275" s="4">
        <v>19478.70101233376</v>
      </c>
      <c r="L275" s="4">
        <v>1453923</v>
      </c>
      <c r="M275" s="3">
        <v>15.6948709</v>
      </c>
      <c r="N275" s="3">
        <v>31.944255800000001</v>
      </c>
      <c r="O275" s="3">
        <v>57.172492299999988</v>
      </c>
      <c r="P275" s="3">
        <v>31.0556211</v>
      </c>
      <c r="Q275" s="3">
        <v>30.762975600000001</v>
      </c>
      <c r="R275" s="3">
        <v>26.094987700000001</v>
      </c>
      <c r="S275" s="2">
        <v>0</v>
      </c>
      <c r="T275" s="2">
        <v>0</v>
      </c>
      <c r="U275" s="2">
        <v>0</v>
      </c>
    </row>
    <row r="276" spans="1:21" x14ac:dyDescent="0.3">
      <c r="A276" s="5" t="s">
        <v>30</v>
      </c>
      <c r="B276" s="5">
        <v>2016</v>
      </c>
      <c r="C276" s="5" t="s">
        <v>31</v>
      </c>
      <c r="D276" s="9">
        <v>13.955023000000001</v>
      </c>
      <c r="E276" s="7">
        <f t="shared" si="4"/>
        <v>12269246.143311054</v>
      </c>
      <c r="F276" s="7">
        <v>30741477.496073939</v>
      </c>
      <c r="G276" s="7">
        <v>342813074.69984198</v>
      </c>
      <c r="H276" s="7"/>
      <c r="I276" s="7">
        <v>373554552.19591588</v>
      </c>
      <c r="J276" s="6">
        <v>-8.8164172321975656</v>
      </c>
      <c r="K276" s="7">
        <v>16649.475767235941</v>
      </c>
      <c r="L276" s="7">
        <v>1508186</v>
      </c>
      <c r="M276" s="6">
        <v>14.802342700000001</v>
      </c>
      <c r="N276" s="6">
        <v>32.402485200000001</v>
      </c>
      <c r="O276" s="6">
        <v>58.976384400000001</v>
      </c>
      <c r="P276" s="6">
        <v>32.810103300000002</v>
      </c>
      <c r="Q276" s="6">
        <v>30.028434799999999</v>
      </c>
      <c r="R276" s="6">
        <v>26.9664471</v>
      </c>
      <c r="S276" s="5">
        <v>0</v>
      </c>
      <c r="T276" s="5">
        <v>0</v>
      </c>
      <c r="U276" s="5">
        <v>0</v>
      </c>
    </row>
    <row r="277" spans="1:21" x14ac:dyDescent="0.3">
      <c r="A277" s="2" t="s">
        <v>30</v>
      </c>
      <c r="B277" s="2">
        <v>2017</v>
      </c>
      <c r="C277" s="2" t="s">
        <v>31</v>
      </c>
      <c r="D277" s="8">
        <v>13.786591</v>
      </c>
      <c r="E277" s="4">
        <f t="shared" si="4"/>
        <v>12121160.850552296</v>
      </c>
      <c r="F277" s="4">
        <v>17175644.724071439</v>
      </c>
      <c r="G277" s="4">
        <v>742787246.778754</v>
      </c>
      <c r="H277" s="4"/>
      <c r="I277" s="4">
        <v>759962891.50282538</v>
      </c>
      <c r="J277" s="3">
        <v>-5.6675085048668592</v>
      </c>
      <c r="K277" s="4">
        <v>18434.770857100371</v>
      </c>
      <c r="L277" s="4">
        <v>1562396</v>
      </c>
      <c r="M277" s="3">
        <v>14.7875441</v>
      </c>
      <c r="N277" s="3">
        <v>31.795089000000001</v>
      </c>
      <c r="O277" s="3">
        <v>59.146387300000001</v>
      </c>
      <c r="P277" s="3">
        <v>32.824898500000003</v>
      </c>
      <c r="Q277" s="3">
        <v>30.0174165</v>
      </c>
      <c r="R277" s="3">
        <v>27.103045300000002</v>
      </c>
      <c r="S277" s="2">
        <v>0</v>
      </c>
      <c r="T277" s="2">
        <v>0</v>
      </c>
      <c r="U277" s="2">
        <v>0</v>
      </c>
    </row>
    <row r="278" spans="1:21" x14ac:dyDescent="0.3">
      <c r="A278" s="5" t="s">
        <v>30</v>
      </c>
      <c r="B278" s="5">
        <v>2018</v>
      </c>
      <c r="C278" s="5" t="s">
        <v>31</v>
      </c>
      <c r="D278" s="9">
        <v>11.743705</v>
      </c>
      <c r="E278" s="7">
        <f t="shared" si="4"/>
        <v>10325056.95472037</v>
      </c>
      <c r="F278" s="7">
        <v>2206900.6488141888</v>
      </c>
      <c r="G278" s="7">
        <v>0</v>
      </c>
      <c r="H278" s="7"/>
      <c r="I278" s="7">
        <v>2206900.6488141888</v>
      </c>
      <c r="J278" s="6">
        <v>-6.2365440673457471</v>
      </c>
      <c r="K278" s="7">
        <v>18413.129420457699</v>
      </c>
      <c r="L278" s="7">
        <v>1616422</v>
      </c>
      <c r="M278" s="6">
        <v>17.104784899999999</v>
      </c>
      <c r="N278" s="6">
        <v>32.194443900000003</v>
      </c>
      <c r="O278" s="6">
        <v>59.388512199999987</v>
      </c>
      <c r="P278" s="6">
        <v>31.271104399999999</v>
      </c>
      <c r="Q278" s="6">
        <v>28.957288900000002</v>
      </c>
      <c r="R278" s="6">
        <v>26.591547299999998</v>
      </c>
      <c r="S278" s="5">
        <v>0</v>
      </c>
      <c r="T278" s="5">
        <v>0</v>
      </c>
      <c r="U278" s="5">
        <v>0</v>
      </c>
    </row>
    <row r="279" spans="1:21" x14ac:dyDescent="0.3">
      <c r="A279" s="2" t="s">
        <v>30</v>
      </c>
      <c r="B279" s="2">
        <v>2019</v>
      </c>
      <c r="C279" s="2" t="s">
        <v>31</v>
      </c>
      <c r="D279" s="8">
        <v>94.518816000000001</v>
      </c>
      <c r="E279" s="4">
        <f t="shared" si="4"/>
        <v>83100874.765905231</v>
      </c>
      <c r="F279" s="4">
        <v>464566402.87893027</v>
      </c>
      <c r="G279" s="4">
        <v>653436412.44705391</v>
      </c>
      <c r="H279" s="4">
        <v>107467886.9338184</v>
      </c>
      <c r="I279" s="4">
        <v>1225470702.2598031</v>
      </c>
      <c r="J279" s="3">
        <v>-5.4818253789344453</v>
      </c>
      <c r="K279" s="4">
        <v>16451.364147832439</v>
      </c>
      <c r="L279" s="4">
        <v>1670177</v>
      </c>
      <c r="M279" s="3">
        <v>17.131876200000001</v>
      </c>
      <c r="N279" s="3">
        <v>31.7102042</v>
      </c>
      <c r="O279" s="3">
        <v>60.085144300000003</v>
      </c>
      <c r="P279" s="3">
        <v>32.093560400000001</v>
      </c>
      <c r="Q279" s="3">
        <v>29.6261966</v>
      </c>
      <c r="R279" s="3">
        <v>26.964999599999999</v>
      </c>
      <c r="S279" s="2">
        <v>0</v>
      </c>
      <c r="T279" s="2">
        <v>0</v>
      </c>
      <c r="U279" s="2">
        <v>0</v>
      </c>
    </row>
    <row r="280" spans="1:21" x14ac:dyDescent="0.3">
      <c r="A280" s="5" t="s">
        <v>30</v>
      </c>
      <c r="B280" s="5">
        <v>2020</v>
      </c>
      <c r="C280" s="5" t="s">
        <v>31</v>
      </c>
      <c r="D280" s="9">
        <v>12.432708999999999</v>
      </c>
      <c r="E280" s="7">
        <f t="shared" si="4"/>
        <v>10930828.773923097</v>
      </c>
      <c r="F280" s="7">
        <v>2242720.3844941282</v>
      </c>
      <c r="G280" s="7"/>
      <c r="H280" s="7"/>
      <c r="I280" s="7">
        <v>2242720.3844941282</v>
      </c>
      <c r="J280" s="6">
        <v>-4.791080833832936</v>
      </c>
      <c r="K280" s="7">
        <v>13677.110587516951</v>
      </c>
      <c r="L280" s="7">
        <v>1716468</v>
      </c>
      <c r="M280" s="6">
        <v>17.138683400000001</v>
      </c>
      <c r="N280" s="6">
        <v>30.683556100000001</v>
      </c>
      <c r="O280" s="6">
        <v>59.392777499999987</v>
      </c>
      <c r="P280" s="6">
        <v>31.2626399</v>
      </c>
      <c r="Q280" s="6">
        <v>30.667834800000001</v>
      </c>
      <c r="R280" s="6">
        <v>26.7440465</v>
      </c>
      <c r="S280" s="5">
        <v>0</v>
      </c>
      <c r="T280" s="5">
        <v>0</v>
      </c>
      <c r="U280" s="5">
        <v>0</v>
      </c>
    </row>
    <row r="281" spans="1:21" x14ac:dyDescent="0.3">
      <c r="A281" s="2" t="s">
        <v>30</v>
      </c>
      <c r="B281" s="2">
        <v>2021</v>
      </c>
      <c r="C281" s="2" t="s">
        <v>31</v>
      </c>
      <c r="D281" s="8">
        <v>18.568268</v>
      </c>
      <c r="E281" s="4">
        <f t="shared" si="4"/>
        <v>16325207.81563499</v>
      </c>
      <c r="F281" s="4">
        <v>21317975.837349191</v>
      </c>
      <c r="G281" s="4"/>
      <c r="H281" s="4">
        <v>6439074.3499999996</v>
      </c>
      <c r="I281" s="4">
        <v>27757050.187349189</v>
      </c>
      <c r="J281" s="3">
        <v>0.86026995638206927</v>
      </c>
      <c r="K281" s="4">
        <v>16821.448647041288</v>
      </c>
      <c r="L281" s="4">
        <v>1758786</v>
      </c>
      <c r="M281" s="3">
        <v>17.125427200000001</v>
      </c>
      <c r="N281" s="3">
        <v>31.087762300000001</v>
      </c>
      <c r="O281" s="3">
        <v>60.403128499999987</v>
      </c>
      <c r="P281" s="3">
        <v>31.254388299999999</v>
      </c>
      <c r="Q281" s="3">
        <v>30.6526602</v>
      </c>
      <c r="R281" s="3">
        <v>26.630605800000001</v>
      </c>
      <c r="S281" s="2">
        <v>0</v>
      </c>
      <c r="T281" s="2">
        <v>0</v>
      </c>
      <c r="U281" s="2">
        <v>0</v>
      </c>
    </row>
    <row r="282" spans="1:21" x14ac:dyDescent="0.3">
      <c r="A282" s="5" t="s">
        <v>34</v>
      </c>
      <c r="B282" s="5">
        <v>2002</v>
      </c>
      <c r="C282" s="5" t="s">
        <v>35</v>
      </c>
      <c r="D282" s="9">
        <v>27.561851999999998</v>
      </c>
      <c r="E282" s="7">
        <f t="shared" si="4"/>
        <v>24232360.373287097</v>
      </c>
      <c r="F282" s="7"/>
      <c r="G282" s="7"/>
      <c r="H282" s="7"/>
      <c r="I282" s="7"/>
      <c r="J282" s="6">
        <v>4.0886479398829039</v>
      </c>
      <c r="K282" s="7">
        <v>4741.6118784757737</v>
      </c>
      <c r="L282" s="7">
        <v>1059441</v>
      </c>
      <c r="M282" s="6">
        <v>47.103492099999997</v>
      </c>
      <c r="N282" s="6">
        <v>45.913252</v>
      </c>
      <c r="O282" s="6">
        <v>62.810904800000003</v>
      </c>
      <c r="P282" s="6">
        <v>49.132263500000001</v>
      </c>
      <c r="Q282" s="6">
        <v>47.129242599999998</v>
      </c>
      <c r="R282" s="6">
        <v>34.978796000000003</v>
      </c>
      <c r="S282" s="5">
        <v>0</v>
      </c>
      <c r="T282" s="5">
        <v>0</v>
      </c>
      <c r="U282" s="5">
        <v>0</v>
      </c>
    </row>
    <row r="283" spans="1:21" x14ac:dyDescent="0.3">
      <c r="A283" s="2" t="s">
        <v>34</v>
      </c>
      <c r="B283" s="2">
        <v>2003</v>
      </c>
      <c r="C283" s="2" t="s">
        <v>35</v>
      </c>
      <c r="D283" s="8">
        <v>37.638438000000001</v>
      </c>
      <c r="E283" s="4">
        <f t="shared" si="4"/>
        <v>33091687.507197384</v>
      </c>
      <c r="F283" s="4"/>
      <c r="G283" s="4"/>
      <c r="H283" s="4"/>
      <c r="I283" s="4"/>
      <c r="J283" s="3">
        <v>4.5386552567252778</v>
      </c>
      <c r="K283" s="4">
        <v>5020.2828627855069</v>
      </c>
      <c r="L283" s="4">
        <v>1066700</v>
      </c>
      <c r="M283" s="3">
        <v>47.063826800000001</v>
      </c>
      <c r="N283" s="3">
        <v>35.624260200000002</v>
      </c>
      <c r="O283" s="3">
        <v>61.7603419</v>
      </c>
      <c r="P283" s="3">
        <v>49.133198800000002</v>
      </c>
      <c r="Q283" s="3">
        <v>48.762762100000003</v>
      </c>
      <c r="R283" s="3">
        <v>32.051473199999997</v>
      </c>
      <c r="S283" s="2">
        <v>0</v>
      </c>
      <c r="T283" s="2">
        <v>0</v>
      </c>
      <c r="U283" s="2">
        <v>0</v>
      </c>
    </row>
    <row r="284" spans="1:21" x14ac:dyDescent="0.3">
      <c r="A284" s="5" t="s">
        <v>34</v>
      </c>
      <c r="B284" s="5">
        <v>2004</v>
      </c>
      <c r="C284" s="5" t="s">
        <v>35</v>
      </c>
      <c r="D284" s="9">
        <v>30.587067999999999</v>
      </c>
      <c r="E284" s="7">
        <f t="shared" si="4"/>
        <v>26892128.095682312</v>
      </c>
      <c r="F284" s="7"/>
      <c r="G284" s="7"/>
      <c r="H284" s="7"/>
      <c r="I284" s="7"/>
      <c r="J284" s="6">
        <v>3.6171193192224682</v>
      </c>
      <c r="K284" s="7">
        <v>5309.6050787811228</v>
      </c>
      <c r="L284" s="7">
        <v>1073159</v>
      </c>
      <c r="M284" s="6">
        <v>41.715171300000002</v>
      </c>
      <c r="N284" s="6">
        <v>29.373108899999998</v>
      </c>
      <c r="O284" s="6">
        <v>60.937060000000002</v>
      </c>
      <c r="P284" s="6">
        <v>43.077309199999988</v>
      </c>
      <c r="Q284" s="6">
        <v>44.411359399999988</v>
      </c>
      <c r="R284" s="6">
        <v>33.304977000000001</v>
      </c>
      <c r="S284" s="5">
        <v>0</v>
      </c>
      <c r="T284" s="5">
        <v>0</v>
      </c>
      <c r="U284" s="5">
        <v>0</v>
      </c>
    </row>
    <row r="285" spans="1:21" x14ac:dyDescent="0.3">
      <c r="A285" s="2" t="s">
        <v>34</v>
      </c>
      <c r="B285" s="2">
        <v>2005</v>
      </c>
      <c r="C285" s="2" t="s">
        <v>35</v>
      </c>
      <c r="D285" s="8">
        <v>64.504152000000005</v>
      </c>
      <c r="E285" s="4">
        <f t="shared" si="4"/>
        <v>56712003.853633918</v>
      </c>
      <c r="F285" s="4"/>
      <c r="G285" s="4"/>
      <c r="H285" s="4"/>
      <c r="I285" s="4"/>
      <c r="J285" s="3">
        <v>5.992282890960368</v>
      </c>
      <c r="K285" s="4">
        <v>5772.6898651495858</v>
      </c>
      <c r="L285" s="4">
        <v>1079022</v>
      </c>
      <c r="M285" s="3">
        <v>41.694867000000002</v>
      </c>
      <c r="N285" s="3">
        <v>30.258346499999998</v>
      </c>
      <c r="O285" s="3">
        <v>57.712159799999988</v>
      </c>
      <c r="P285" s="3">
        <v>44.871582699999998</v>
      </c>
      <c r="Q285" s="3">
        <v>43.419437700000003</v>
      </c>
      <c r="R285" s="3">
        <v>35.148734699999999</v>
      </c>
      <c r="S285" s="2">
        <v>0</v>
      </c>
      <c r="T285" s="2">
        <v>0</v>
      </c>
      <c r="U285" s="2">
        <v>0</v>
      </c>
    </row>
    <row r="286" spans="1:21" x14ac:dyDescent="0.3">
      <c r="A286" s="5" t="s">
        <v>34</v>
      </c>
      <c r="B286" s="5">
        <v>2006</v>
      </c>
      <c r="C286" s="5" t="s">
        <v>35</v>
      </c>
      <c r="D286" s="9">
        <v>50.350797</v>
      </c>
      <c r="E286" s="7">
        <f t="shared" si="4"/>
        <v>44268384.35915783</v>
      </c>
      <c r="F286" s="7"/>
      <c r="G286" s="7"/>
      <c r="H286" s="7"/>
      <c r="I286" s="7"/>
      <c r="J286" s="6">
        <v>6.7288094656409356</v>
      </c>
      <c r="K286" s="7">
        <v>6319.4144430828092</v>
      </c>
      <c r="L286" s="7">
        <v>1084436</v>
      </c>
      <c r="M286" s="6">
        <v>49.530715200000003</v>
      </c>
      <c r="N286" s="6">
        <v>40.432511599999998</v>
      </c>
      <c r="O286" s="6">
        <v>61.768261000000003</v>
      </c>
      <c r="P286" s="6">
        <v>48.001638799999988</v>
      </c>
      <c r="Q286" s="6">
        <v>46.497248399999997</v>
      </c>
      <c r="R286" s="6">
        <v>38.073820599999998</v>
      </c>
      <c r="S286" s="5">
        <v>0</v>
      </c>
      <c r="T286" s="5">
        <v>0</v>
      </c>
      <c r="U286" s="5">
        <v>0</v>
      </c>
    </row>
    <row r="287" spans="1:21" x14ac:dyDescent="0.3">
      <c r="A287" s="2" t="s">
        <v>34</v>
      </c>
      <c r="B287" s="2">
        <v>2007</v>
      </c>
      <c r="C287" s="2" t="s">
        <v>35</v>
      </c>
      <c r="D287" s="8">
        <v>57.940164000000003</v>
      </c>
      <c r="E287" s="4">
        <f t="shared" si="4"/>
        <v>50940950.344532564</v>
      </c>
      <c r="F287" s="4"/>
      <c r="G287" s="4"/>
      <c r="H287" s="4"/>
      <c r="I287" s="4"/>
      <c r="J287" s="3">
        <v>4.3177214487236171</v>
      </c>
      <c r="K287" s="4">
        <v>6731.9541136741891</v>
      </c>
      <c r="L287" s="4">
        <v>1090705</v>
      </c>
      <c r="M287" s="3">
        <v>49.494822900000003</v>
      </c>
      <c r="N287" s="3">
        <v>39.858984999999997</v>
      </c>
      <c r="O287" s="3">
        <v>64.201063500000004</v>
      </c>
      <c r="P287" s="3">
        <v>46.001161799999998</v>
      </c>
      <c r="Q287" s="3">
        <v>45.484161</v>
      </c>
      <c r="R287" s="3">
        <v>36.443798100000002</v>
      </c>
      <c r="S287" s="2">
        <v>0</v>
      </c>
      <c r="T287" s="2">
        <v>0</v>
      </c>
      <c r="U287" s="2">
        <v>0</v>
      </c>
    </row>
    <row r="288" spans="1:21" x14ac:dyDescent="0.3">
      <c r="A288" s="5" t="s">
        <v>34</v>
      </c>
      <c r="B288" s="5">
        <v>2008</v>
      </c>
      <c r="C288" s="5" t="s">
        <v>35</v>
      </c>
      <c r="D288" s="9">
        <v>58.711238999999999</v>
      </c>
      <c r="E288" s="7">
        <f t="shared" si="4"/>
        <v>51618878.927663788</v>
      </c>
      <c r="F288" s="7"/>
      <c r="G288" s="7"/>
      <c r="H288" s="7"/>
      <c r="I288" s="7"/>
      <c r="J288" s="6">
        <v>1.4405535872711821</v>
      </c>
      <c r="K288" s="7">
        <v>6913.6873272018429</v>
      </c>
      <c r="L288" s="7">
        <v>1098091</v>
      </c>
      <c r="M288" s="6">
        <v>51.664946200000003</v>
      </c>
      <c r="N288" s="6">
        <v>45.220496500000003</v>
      </c>
      <c r="O288" s="6">
        <v>62.9485381</v>
      </c>
      <c r="P288" s="6">
        <v>48.394331399999999</v>
      </c>
      <c r="Q288" s="6">
        <v>48.010365200000003</v>
      </c>
      <c r="R288" s="6">
        <v>36.428663700000001</v>
      </c>
      <c r="S288" s="5">
        <v>0</v>
      </c>
      <c r="T288" s="5">
        <v>0</v>
      </c>
      <c r="U288" s="5">
        <v>0</v>
      </c>
    </row>
    <row r="289" spans="1:21" x14ac:dyDescent="0.3">
      <c r="A289" s="2" t="s">
        <v>34</v>
      </c>
      <c r="B289" s="2">
        <v>2009</v>
      </c>
      <c r="C289" s="2" t="s">
        <v>35</v>
      </c>
      <c r="D289" s="8">
        <v>75.642545999999996</v>
      </c>
      <c r="E289" s="4">
        <f t="shared" si="4"/>
        <v>66504871.814308643</v>
      </c>
      <c r="F289" s="4"/>
      <c r="G289" s="4"/>
      <c r="H289" s="4"/>
      <c r="I289" s="4"/>
      <c r="J289" s="3">
        <v>1.433111342477559</v>
      </c>
      <c r="K289" s="4">
        <v>7010.9331263513959</v>
      </c>
      <c r="L289" s="4">
        <v>1105153</v>
      </c>
      <c r="M289" s="3">
        <v>50.645293000000002</v>
      </c>
      <c r="N289" s="3">
        <v>43.592176500000001</v>
      </c>
      <c r="O289" s="3">
        <v>66.764630799999992</v>
      </c>
      <c r="P289" s="3">
        <v>48.629820799999997</v>
      </c>
      <c r="Q289" s="3">
        <v>47.1446015</v>
      </c>
      <c r="R289" s="3">
        <v>36.684243799999997</v>
      </c>
      <c r="S289" s="2">
        <v>0</v>
      </c>
      <c r="T289" s="2">
        <v>0</v>
      </c>
      <c r="U289" s="2">
        <v>0</v>
      </c>
    </row>
    <row r="290" spans="1:21" x14ac:dyDescent="0.3">
      <c r="A290" s="5" t="s">
        <v>34</v>
      </c>
      <c r="B290" s="5">
        <v>2010</v>
      </c>
      <c r="C290" s="5" t="s">
        <v>35</v>
      </c>
      <c r="D290" s="9">
        <v>113.282557</v>
      </c>
      <c r="E290" s="7">
        <f t="shared" si="4"/>
        <v>99597942.301970005</v>
      </c>
      <c r="F290" s="7"/>
      <c r="G290" s="7"/>
      <c r="H290" s="7"/>
      <c r="I290" s="7"/>
      <c r="J290" s="6">
        <v>3.824434874297665</v>
      </c>
      <c r="K290" s="7">
        <v>7324.4639308583737</v>
      </c>
      <c r="L290" s="7">
        <v>1111650</v>
      </c>
      <c r="M290" s="6">
        <v>45.992533399999999</v>
      </c>
      <c r="N290" s="6">
        <v>46.368127299999998</v>
      </c>
      <c r="O290" s="6">
        <v>65.866300899999999</v>
      </c>
      <c r="P290" s="6">
        <v>48.507951800000001</v>
      </c>
      <c r="Q290" s="6">
        <v>46.612599699999997</v>
      </c>
      <c r="R290" s="6">
        <v>35.272965599999999</v>
      </c>
      <c r="S290" s="5">
        <v>0</v>
      </c>
      <c r="T290" s="5">
        <v>0</v>
      </c>
      <c r="U290" s="5">
        <v>0</v>
      </c>
    </row>
    <row r="291" spans="1:21" x14ac:dyDescent="0.3">
      <c r="A291" s="2" t="s">
        <v>34</v>
      </c>
      <c r="B291" s="2">
        <v>2011</v>
      </c>
      <c r="C291" s="2" t="s">
        <v>35</v>
      </c>
      <c r="D291" s="8">
        <v>148.96770699999999</v>
      </c>
      <c r="E291" s="4">
        <f t="shared" si="4"/>
        <v>130972300.41022797</v>
      </c>
      <c r="F291" s="4"/>
      <c r="G291" s="4"/>
      <c r="H291" s="4"/>
      <c r="I291" s="4"/>
      <c r="J291" s="3">
        <v>1.839736259161654</v>
      </c>
      <c r="K291" s="4">
        <v>7570.9966142438007</v>
      </c>
      <c r="L291" s="4">
        <v>1117833</v>
      </c>
      <c r="M291" s="3">
        <v>45.182805199999997</v>
      </c>
      <c r="N291" s="3">
        <v>44.451887999999997</v>
      </c>
      <c r="O291" s="3">
        <v>56.673323500000002</v>
      </c>
      <c r="P291" s="3">
        <v>47.834639899999999</v>
      </c>
      <c r="Q291" s="3">
        <v>45.026640299999997</v>
      </c>
      <c r="R291" s="3">
        <v>35.294880399999997</v>
      </c>
      <c r="S291" s="2">
        <v>0</v>
      </c>
      <c r="T291" s="2">
        <v>0</v>
      </c>
      <c r="U291" s="2">
        <v>0</v>
      </c>
    </row>
    <row r="292" spans="1:21" x14ac:dyDescent="0.3">
      <c r="A292" s="5" t="s">
        <v>34</v>
      </c>
      <c r="B292" s="5">
        <v>2012</v>
      </c>
      <c r="C292" s="5" t="s">
        <v>35</v>
      </c>
      <c r="D292" s="9">
        <v>118.29562300000001</v>
      </c>
      <c r="E292" s="7">
        <f t="shared" si="4"/>
        <v>104005426.30874404</v>
      </c>
      <c r="F292" s="7"/>
      <c r="G292" s="7"/>
      <c r="H292" s="7"/>
      <c r="I292" s="7"/>
      <c r="J292" s="6">
        <v>4.0904819012459228</v>
      </c>
      <c r="K292" s="7">
        <v>7760.3228045628548</v>
      </c>
      <c r="L292" s="7">
        <v>1123863</v>
      </c>
      <c r="M292" s="6">
        <v>45.598784999999999</v>
      </c>
      <c r="N292" s="6">
        <v>47.700307100000003</v>
      </c>
      <c r="O292" s="6">
        <v>56.913106399999997</v>
      </c>
      <c r="P292" s="6">
        <v>48.326320299999999</v>
      </c>
      <c r="Q292" s="6">
        <v>46.444471800000002</v>
      </c>
      <c r="R292" s="6">
        <v>34.952545800000003</v>
      </c>
      <c r="S292" s="5">
        <v>0</v>
      </c>
      <c r="T292" s="5">
        <v>0</v>
      </c>
      <c r="U292" s="5">
        <v>0</v>
      </c>
    </row>
    <row r="293" spans="1:21" x14ac:dyDescent="0.3">
      <c r="A293" s="2" t="s">
        <v>34</v>
      </c>
      <c r="B293" s="2">
        <v>2013</v>
      </c>
      <c r="C293" s="2" t="s">
        <v>35</v>
      </c>
      <c r="D293" s="8">
        <v>143.33000000000001</v>
      </c>
      <c r="E293" s="4">
        <f t="shared" si="4"/>
        <v>126015632.4873684</v>
      </c>
      <c r="F293" s="4"/>
      <c r="G293" s="4"/>
      <c r="H293" s="4"/>
      <c r="I293" s="4"/>
      <c r="J293" s="3">
        <v>4.0945852211922613</v>
      </c>
      <c r="K293" s="4">
        <v>8231.1513976795104</v>
      </c>
      <c r="L293" s="4">
        <v>1129990</v>
      </c>
      <c r="M293" s="3">
        <v>45.133110299999998</v>
      </c>
      <c r="N293" s="3">
        <v>47.303711399999997</v>
      </c>
      <c r="O293" s="3">
        <v>56.544693899999999</v>
      </c>
      <c r="P293" s="3">
        <v>50.232334299999998</v>
      </c>
      <c r="Q293" s="3">
        <v>46.520419199999999</v>
      </c>
      <c r="R293" s="3">
        <v>35.576320500000001</v>
      </c>
      <c r="S293" s="2">
        <v>0</v>
      </c>
      <c r="T293" s="2">
        <v>0</v>
      </c>
      <c r="U293" s="2">
        <v>0</v>
      </c>
    </row>
    <row r="294" spans="1:21" x14ac:dyDescent="0.3">
      <c r="A294" s="5" t="s">
        <v>34</v>
      </c>
      <c r="B294" s="5">
        <v>2014</v>
      </c>
      <c r="C294" s="5" t="s">
        <v>35</v>
      </c>
      <c r="D294" s="9">
        <v>112.231427</v>
      </c>
      <c r="E294" s="7">
        <f t="shared" si="4"/>
        <v>98673789.565093935</v>
      </c>
      <c r="F294" s="7"/>
      <c r="G294" s="7"/>
      <c r="H294" s="7"/>
      <c r="I294" s="7"/>
      <c r="J294" s="6">
        <v>2.0573817924658608</v>
      </c>
      <c r="K294" s="7">
        <v>8365.7432873890011</v>
      </c>
      <c r="L294" s="7">
        <v>1136299</v>
      </c>
      <c r="M294" s="6">
        <v>42.100094400000003</v>
      </c>
      <c r="N294" s="6">
        <v>46.011193499999997</v>
      </c>
      <c r="O294" s="6">
        <v>59.102596899999988</v>
      </c>
      <c r="P294" s="6">
        <v>48.860324800000001</v>
      </c>
      <c r="Q294" s="6">
        <v>46.959977100000003</v>
      </c>
      <c r="R294" s="6">
        <v>34.784628599999998</v>
      </c>
      <c r="S294" s="5">
        <v>0</v>
      </c>
      <c r="T294" s="5">
        <v>0</v>
      </c>
      <c r="U294" s="5">
        <v>0</v>
      </c>
    </row>
    <row r="295" spans="1:21" x14ac:dyDescent="0.3">
      <c r="A295" s="2" t="s">
        <v>34</v>
      </c>
      <c r="B295" s="2">
        <v>2015</v>
      </c>
      <c r="C295" s="2" t="s">
        <v>35</v>
      </c>
      <c r="D295" s="8">
        <v>129.56944899999999</v>
      </c>
      <c r="E295" s="4">
        <f t="shared" si="4"/>
        <v>113917365.98601006</v>
      </c>
      <c r="F295" s="4"/>
      <c r="G295" s="4"/>
      <c r="H295" s="4"/>
      <c r="I295" s="4"/>
      <c r="J295" s="3">
        <v>1.7042580601728901</v>
      </c>
      <c r="K295" s="4">
        <v>8391.0700608460193</v>
      </c>
      <c r="L295" s="4">
        <v>1142813</v>
      </c>
      <c r="M295" s="3">
        <v>42.2130139</v>
      </c>
      <c r="N295" s="3">
        <v>45.701358800000001</v>
      </c>
      <c r="O295" s="3">
        <v>58.271624899999999</v>
      </c>
      <c r="P295" s="3">
        <v>48.775368899999997</v>
      </c>
      <c r="Q295" s="3">
        <v>47.707410400000001</v>
      </c>
      <c r="R295" s="3">
        <v>34.707530200000001</v>
      </c>
      <c r="S295" s="2">
        <v>0</v>
      </c>
      <c r="T295" s="2">
        <v>0</v>
      </c>
      <c r="U295" s="2">
        <v>0</v>
      </c>
    </row>
    <row r="296" spans="1:21" x14ac:dyDescent="0.3">
      <c r="A296" s="5" t="s">
        <v>34</v>
      </c>
      <c r="B296" s="5">
        <v>2016</v>
      </c>
      <c r="C296" s="5" t="s">
        <v>35</v>
      </c>
      <c r="D296" s="9">
        <v>195.46254099999999</v>
      </c>
      <c r="E296" s="7">
        <f t="shared" si="4"/>
        <v>171850524.88455436</v>
      </c>
      <c r="F296" s="7"/>
      <c r="G296" s="7"/>
      <c r="H296" s="7"/>
      <c r="I296" s="7"/>
      <c r="J296" s="6">
        <v>2.9491682105991122</v>
      </c>
      <c r="K296" s="7">
        <v>8484.1211727834452</v>
      </c>
      <c r="L296" s="7">
        <v>1149507</v>
      </c>
      <c r="M296" s="6">
        <v>42.311450499999999</v>
      </c>
      <c r="N296" s="6">
        <v>46.511445299999998</v>
      </c>
      <c r="O296" s="6">
        <v>58.234897799999999</v>
      </c>
      <c r="P296" s="6">
        <v>48.285885499999999</v>
      </c>
      <c r="Q296" s="6">
        <v>47.709814700000003</v>
      </c>
      <c r="R296" s="6">
        <v>33.632371499999998</v>
      </c>
      <c r="S296" s="5">
        <v>0</v>
      </c>
      <c r="T296" s="5">
        <v>0</v>
      </c>
      <c r="U296" s="5">
        <v>0</v>
      </c>
    </row>
    <row r="297" spans="1:21" x14ac:dyDescent="0.3">
      <c r="A297" s="2" t="s">
        <v>34</v>
      </c>
      <c r="B297" s="2">
        <v>2017</v>
      </c>
      <c r="C297" s="2" t="s">
        <v>35</v>
      </c>
      <c r="D297" s="8">
        <v>189.97023300000001</v>
      </c>
      <c r="E297" s="4">
        <f t="shared" si="4"/>
        <v>167021691.65748793</v>
      </c>
      <c r="F297" s="4"/>
      <c r="G297" s="4"/>
      <c r="H297" s="4"/>
      <c r="I297" s="4"/>
      <c r="J297" s="3">
        <v>3.5209534598798342</v>
      </c>
      <c r="K297" s="4">
        <v>8584.3110076783723</v>
      </c>
      <c r="L297" s="4">
        <v>1158195</v>
      </c>
      <c r="M297" s="3">
        <v>46.0711455</v>
      </c>
      <c r="N297" s="3">
        <v>45.750268299999988</v>
      </c>
      <c r="O297" s="3">
        <v>59.397702099999997</v>
      </c>
      <c r="P297" s="3">
        <v>48.7626493</v>
      </c>
      <c r="Q297" s="3">
        <v>48.905703899999999</v>
      </c>
      <c r="R297" s="3">
        <v>33.504911399999997</v>
      </c>
      <c r="S297" s="2">
        <v>0</v>
      </c>
      <c r="T297" s="2">
        <v>0</v>
      </c>
      <c r="U297" s="2">
        <v>0</v>
      </c>
    </row>
    <row r="298" spans="1:21" x14ac:dyDescent="0.3">
      <c r="A298" s="5" t="s">
        <v>34</v>
      </c>
      <c r="B298" s="5">
        <v>2018</v>
      </c>
      <c r="C298" s="5" t="s">
        <v>35</v>
      </c>
      <c r="D298" s="9">
        <v>150.84296699999999</v>
      </c>
      <c r="E298" s="7">
        <f t="shared" si="4"/>
        <v>132621027.64791904</v>
      </c>
      <c r="F298" s="7"/>
      <c r="G298" s="7"/>
      <c r="H298" s="7"/>
      <c r="I298" s="7"/>
      <c r="J298" s="6">
        <v>6.5395655784357132E-2</v>
      </c>
      <c r="K298" s="7">
        <v>8535.2559316045426</v>
      </c>
      <c r="L298" s="7">
        <v>1168929</v>
      </c>
      <c r="M298" s="6">
        <v>42.339989000000003</v>
      </c>
      <c r="N298" s="6">
        <v>42.574062400000003</v>
      </c>
      <c r="O298" s="6">
        <v>56.553975999999999</v>
      </c>
      <c r="P298" s="6">
        <v>46.960272400000001</v>
      </c>
      <c r="Q298" s="6">
        <v>48.954676999999997</v>
      </c>
      <c r="R298" s="6">
        <v>33.689429599999997</v>
      </c>
      <c r="S298" s="5">
        <v>0</v>
      </c>
      <c r="T298" s="5">
        <v>0</v>
      </c>
      <c r="U298" s="5">
        <v>0</v>
      </c>
    </row>
    <row r="299" spans="1:21" x14ac:dyDescent="0.3">
      <c r="A299" s="2" t="s">
        <v>34</v>
      </c>
      <c r="B299" s="2">
        <v>2019</v>
      </c>
      <c r="C299" s="2" t="s">
        <v>35</v>
      </c>
      <c r="D299" s="8">
        <v>104.928045</v>
      </c>
      <c r="E299" s="14">
        <f t="shared" si="4"/>
        <v>92252661.385181412</v>
      </c>
      <c r="F299" s="13"/>
      <c r="G299" s="4"/>
      <c r="H299" s="4"/>
      <c r="I299" s="4"/>
      <c r="J299" s="3">
        <v>6.431868886915737</v>
      </c>
      <c r="K299" s="4">
        <v>9248.3220671445488</v>
      </c>
      <c r="L299" s="4">
        <v>1179874</v>
      </c>
      <c r="M299" s="3">
        <v>41.843528900000003</v>
      </c>
      <c r="N299" s="3">
        <v>41.6919027</v>
      </c>
      <c r="O299" s="3">
        <v>60.457941599999998</v>
      </c>
      <c r="P299" s="3">
        <v>46.614876700000003</v>
      </c>
      <c r="Q299" s="3">
        <v>47.376414199999999</v>
      </c>
      <c r="R299" s="3">
        <v>34.876497399999998</v>
      </c>
      <c r="S299" s="2">
        <v>0</v>
      </c>
      <c r="T299" s="2">
        <v>0</v>
      </c>
      <c r="U299" s="2">
        <v>0</v>
      </c>
    </row>
    <row r="300" spans="1:21" x14ac:dyDescent="0.3">
      <c r="A300" s="5" t="s">
        <v>34</v>
      </c>
      <c r="B300" s="5">
        <v>2020</v>
      </c>
      <c r="C300" s="5" t="s">
        <v>35</v>
      </c>
      <c r="D300" s="9">
        <v>135.574119</v>
      </c>
      <c r="E300" s="7">
        <f t="shared" si="4"/>
        <v>119196667.51344973</v>
      </c>
      <c r="F300" s="7"/>
      <c r="G300" s="7"/>
      <c r="H300" s="7"/>
      <c r="I300" s="7"/>
      <c r="J300" s="6">
        <v>-2.951834534092868</v>
      </c>
      <c r="K300" s="7">
        <v>9329.304533609391</v>
      </c>
      <c r="L300" s="7">
        <v>1192729</v>
      </c>
      <c r="M300" s="6">
        <v>41.753516900000001</v>
      </c>
      <c r="N300" s="6">
        <v>39.216068399999997</v>
      </c>
      <c r="O300" s="6">
        <v>62.565824799999987</v>
      </c>
      <c r="P300" s="6">
        <v>46.596083499999999</v>
      </c>
      <c r="Q300" s="6">
        <v>45.6126991</v>
      </c>
      <c r="R300" s="6">
        <v>34.713731299999999</v>
      </c>
      <c r="S300" s="5">
        <v>0</v>
      </c>
      <c r="T300" s="5">
        <v>0</v>
      </c>
      <c r="U300" s="5">
        <v>0</v>
      </c>
    </row>
    <row r="301" spans="1:21" x14ac:dyDescent="0.3">
      <c r="A301" s="2" t="s">
        <v>34</v>
      </c>
      <c r="B301" s="2">
        <v>2021</v>
      </c>
      <c r="C301" s="2" t="s">
        <v>35</v>
      </c>
      <c r="D301" s="8">
        <v>151.13085100000001</v>
      </c>
      <c r="E301" s="4">
        <f t="shared" si="4"/>
        <v>132874135.05280983</v>
      </c>
      <c r="F301" s="4"/>
      <c r="G301" s="4"/>
      <c r="H301" s="4"/>
      <c r="I301" s="4"/>
      <c r="J301" s="3">
        <v>4.2362191361541903</v>
      </c>
      <c r="K301" s="4">
        <v>9990.4349195120467</v>
      </c>
      <c r="L301" s="4">
        <v>1206593</v>
      </c>
      <c r="M301" s="3">
        <v>36.101062300000002</v>
      </c>
      <c r="N301" s="3">
        <v>37.276552700000003</v>
      </c>
      <c r="O301" s="3">
        <v>58.572472899999987</v>
      </c>
      <c r="P301" s="3">
        <v>46.602701099999997</v>
      </c>
      <c r="Q301" s="3">
        <v>44.956799199999999</v>
      </c>
      <c r="R301" s="3">
        <v>34.003788299999997</v>
      </c>
      <c r="S301" s="2">
        <v>0</v>
      </c>
      <c r="T301" s="2">
        <v>0</v>
      </c>
      <c r="U301" s="2">
        <v>0</v>
      </c>
    </row>
    <row r="302" spans="1:21" x14ac:dyDescent="0.3">
      <c r="A302" s="2" t="s">
        <v>36</v>
      </c>
      <c r="B302" s="2">
        <v>2002</v>
      </c>
      <c r="C302" s="2" t="s">
        <v>37</v>
      </c>
      <c r="D302" s="8">
        <v>1851.44947</v>
      </c>
      <c r="E302" s="4">
        <f t="shared" si="4"/>
        <v>1627793036.9109957</v>
      </c>
      <c r="F302" s="4">
        <v>5079180.26550298</v>
      </c>
      <c r="G302" s="4"/>
      <c r="H302" s="4"/>
      <c r="I302" s="4">
        <v>5079180.26550298</v>
      </c>
      <c r="J302" s="3">
        <v>1.514725706674326</v>
      </c>
      <c r="K302" s="4">
        <v>509.12631407764349</v>
      </c>
      <c r="L302" s="4">
        <v>71635517</v>
      </c>
      <c r="M302" s="3">
        <v>33.186748899999998</v>
      </c>
      <c r="N302" s="3">
        <v>26.336851200000002</v>
      </c>
      <c r="O302" s="3">
        <v>40.125034599999999</v>
      </c>
      <c r="P302" s="3">
        <v>32.8143064</v>
      </c>
      <c r="Q302" s="3">
        <v>38.7165648</v>
      </c>
      <c r="R302" s="3">
        <v>33.390732200000002</v>
      </c>
      <c r="S302" s="2">
        <v>1</v>
      </c>
      <c r="T302" s="2">
        <v>1</v>
      </c>
      <c r="U302" s="2">
        <v>0</v>
      </c>
    </row>
    <row r="303" spans="1:21" x14ac:dyDescent="0.3">
      <c r="A303" s="5" t="s">
        <v>36</v>
      </c>
      <c r="B303" s="5">
        <v>2003</v>
      </c>
      <c r="C303" s="5" t="s">
        <v>37</v>
      </c>
      <c r="D303" s="9">
        <v>2197.6247400000002</v>
      </c>
      <c r="E303" s="7">
        <f t="shared" ref="E303:E366" si="5">(D303*0.879199277802054)*1000000</f>
        <v>1932150084.2879269</v>
      </c>
      <c r="F303" s="7">
        <v>35124692.930573933</v>
      </c>
      <c r="G303" s="7"/>
      <c r="H303" s="7"/>
      <c r="I303" s="7">
        <v>35124692.930573933</v>
      </c>
      <c r="J303" s="6">
        <v>-2.1613597225686481</v>
      </c>
      <c r="K303" s="7">
        <v>492.84075542998301</v>
      </c>
      <c r="L303" s="7">
        <v>73832663</v>
      </c>
      <c r="M303" s="6">
        <v>30.864609699999999</v>
      </c>
      <c r="N303" s="6">
        <v>23.293307899999999</v>
      </c>
      <c r="O303" s="6">
        <v>39.744980900000002</v>
      </c>
      <c r="P303" s="6">
        <v>33.583022800000002</v>
      </c>
      <c r="Q303" s="6">
        <v>38.844536699999999</v>
      </c>
      <c r="R303" s="6">
        <v>33.031500600000001</v>
      </c>
      <c r="S303" s="5">
        <v>1</v>
      </c>
      <c r="T303" s="5">
        <v>1</v>
      </c>
      <c r="U303" s="5">
        <v>0</v>
      </c>
    </row>
    <row r="304" spans="1:21" x14ac:dyDescent="0.3">
      <c r="A304" s="2" t="s">
        <v>36</v>
      </c>
      <c r="B304" s="2">
        <v>2004</v>
      </c>
      <c r="C304" s="2" t="s">
        <v>37</v>
      </c>
      <c r="D304" s="8">
        <v>2364.280033</v>
      </c>
      <c r="E304" s="4">
        <f t="shared" si="5"/>
        <v>2078673297.5354161</v>
      </c>
      <c r="F304" s="4"/>
      <c r="G304" s="4"/>
      <c r="H304" s="4"/>
      <c r="I304" s="4"/>
      <c r="J304" s="3">
        <v>13.572603140147139</v>
      </c>
      <c r="K304" s="4">
        <v>557.82563481780403</v>
      </c>
      <c r="L304" s="4">
        <v>76077206</v>
      </c>
      <c r="M304" s="3">
        <v>32.606326899999999</v>
      </c>
      <c r="N304" s="3">
        <v>31.662587800000001</v>
      </c>
      <c r="O304" s="3">
        <v>44.806646899999997</v>
      </c>
      <c r="P304" s="3">
        <v>40.243309500000002</v>
      </c>
      <c r="Q304" s="3">
        <v>39.746239899999999</v>
      </c>
      <c r="R304" s="3">
        <v>35.856526600000002</v>
      </c>
      <c r="S304" s="2">
        <v>1</v>
      </c>
      <c r="T304" s="2">
        <v>1</v>
      </c>
      <c r="U304" s="2">
        <v>0</v>
      </c>
    </row>
    <row r="305" spans="1:21" x14ac:dyDescent="0.3">
      <c r="A305" s="5" t="s">
        <v>36</v>
      </c>
      <c r="B305" s="5">
        <v>2005</v>
      </c>
      <c r="C305" s="5" t="s">
        <v>37</v>
      </c>
      <c r="D305" s="9">
        <v>2494.625145</v>
      </c>
      <c r="E305" s="7">
        <f t="shared" si="5"/>
        <v>2193272625.8708439</v>
      </c>
      <c r="F305" s="7">
        <v>902599.57017965789</v>
      </c>
      <c r="G305" s="7"/>
      <c r="H305" s="7"/>
      <c r="I305" s="7">
        <v>902599.57017965789</v>
      </c>
      <c r="J305" s="6">
        <v>11.81876594916247</v>
      </c>
      <c r="K305" s="7">
        <v>624.51069242569463</v>
      </c>
      <c r="L305" s="7">
        <v>78367470</v>
      </c>
      <c r="M305" s="6">
        <v>31.1513937</v>
      </c>
      <c r="N305" s="6">
        <v>33.484202699999997</v>
      </c>
      <c r="O305" s="6">
        <v>37.927758300000001</v>
      </c>
      <c r="P305" s="6">
        <v>40.160105799999997</v>
      </c>
      <c r="Q305" s="6">
        <v>40.274587799999999</v>
      </c>
      <c r="R305" s="6">
        <v>36.778848199999999</v>
      </c>
      <c r="S305" s="5">
        <v>1</v>
      </c>
      <c r="T305" s="5">
        <v>1</v>
      </c>
      <c r="U305" s="5">
        <v>0</v>
      </c>
    </row>
    <row r="306" spans="1:21" x14ac:dyDescent="0.3">
      <c r="A306" s="2" t="s">
        <v>36</v>
      </c>
      <c r="B306" s="2">
        <v>2006</v>
      </c>
      <c r="C306" s="2" t="s">
        <v>37</v>
      </c>
      <c r="D306" s="8">
        <v>7557.7726110000003</v>
      </c>
      <c r="E306" s="4">
        <f t="shared" si="5"/>
        <v>6644788221.3833447</v>
      </c>
      <c r="F306" s="4">
        <v>80918327.329280004</v>
      </c>
      <c r="G306" s="4"/>
      <c r="H306" s="4">
        <v>12743686.5640857</v>
      </c>
      <c r="I306" s="4">
        <v>93662013.893365711</v>
      </c>
      <c r="J306" s="3">
        <v>10.834727067937269</v>
      </c>
      <c r="K306" s="4">
        <v>692.86690765677429</v>
      </c>
      <c r="L306" s="4">
        <v>80703490</v>
      </c>
      <c r="M306" s="3">
        <v>37.099528599999999</v>
      </c>
      <c r="N306" s="3">
        <v>36.584384499999999</v>
      </c>
      <c r="O306" s="3">
        <v>37.033293999999998</v>
      </c>
      <c r="P306" s="3">
        <v>41.911154600000003</v>
      </c>
      <c r="Q306" s="3">
        <v>43.8585894</v>
      </c>
      <c r="R306" s="3">
        <v>38.031667599999999</v>
      </c>
      <c r="S306" s="2">
        <v>1</v>
      </c>
      <c r="T306" s="2">
        <v>1</v>
      </c>
      <c r="U306" s="2">
        <v>0</v>
      </c>
    </row>
    <row r="307" spans="1:21" x14ac:dyDescent="0.3">
      <c r="A307" s="5" t="s">
        <v>36</v>
      </c>
      <c r="B307" s="5">
        <v>2007</v>
      </c>
      <c r="C307" s="5" t="s">
        <v>37</v>
      </c>
      <c r="D307" s="9">
        <v>2838.2176370000002</v>
      </c>
      <c r="E307" s="7">
        <f t="shared" si="5"/>
        <v>2495358896.6954527</v>
      </c>
      <c r="F307" s="7">
        <v>34275986.493942052</v>
      </c>
      <c r="G307" s="7">
        <v>2932283439.6792769</v>
      </c>
      <c r="H307" s="7"/>
      <c r="I307" s="7">
        <v>2966559426.1732192</v>
      </c>
      <c r="J307" s="6">
        <v>11.45616700198913</v>
      </c>
      <c r="K307" s="7">
        <v>770.26115521281508</v>
      </c>
      <c r="L307" s="7">
        <v>83103217</v>
      </c>
      <c r="M307" s="6">
        <v>37.049414599999999</v>
      </c>
      <c r="N307" s="6">
        <v>38.923342599999998</v>
      </c>
      <c r="O307" s="6">
        <v>37.080024100000003</v>
      </c>
      <c r="P307" s="6">
        <v>42.875157399999999</v>
      </c>
      <c r="Q307" s="6">
        <v>44.3397766</v>
      </c>
      <c r="R307" s="6">
        <v>38.101315300000003</v>
      </c>
      <c r="S307" s="5">
        <v>1</v>
      </c>
      <c r="T307" s="5">
        <v>1</v>
      </c>
      <c r="U307" s="5">
        <v>0</v>
      </c>
    </row>
    <row r="308" spans="1:21" x14ac:dyDescent="0.3">
      <c r="A308" s="2" t="s">
        <v>36</v>
      </c>
      <c r="B308" s="2">
        <v>2008</v>
      </c>
      <c r="C308" s="2" t="s">
        <v>37</v>
      </c>
      <c r="D308" s="8">
        <v>3672.2546969999999</v>
      </c>
      <c r="E308" s="4">
        <f t="shared" si="5"/>
        <v>3228643677.5076003</v>
      </c>
      <c r="F308" s="4">
        <v>34844187.063880943</v>
      </c>
      <c r="G308" s="4">
        <v>328500439.32505977</v>
      </c>
      <c r="H308" s="4"/>
      <c r="I308" s="4">
        <v>363344626.38894069</v>
      </c>
      <c r="J308" s="3">
        <v>10.78852168703324</v>
      </c>
      <c r="K308" s="4">
        <v>844.98838001869467</v>
      </c>
      <c r="L308" s="4">
        <v>85543668</v>
      </c>
      <c r="M308" s="3">
        <v>35.0633658</v>
      </c>
      <c r="N308" s="3">
        <v>41.0238315</v>
      </c>
      <c r="O308" s="3">
        <v>37.523250599999997</v>
      </c>
      <c r="P308" s="3">
        <v>43.516748300000003</v>
      </c>
      <c r="Q308" s="3">
        <v>42.193589799999998</v>
      </c>
      <c r="R308" s="3">
        <v>35.982526999999997</v>
      </c>
      <c r="S308" s="2">
        <v>1</v>
      </c>
      <c r="T308" s="2">
        <v>1</v>
      </c>
      <c r="U308" s="2">
        <v>0</v>
      </c>
    </row>
    <row r="309" spans="1:21" x14ac:dyDescent="0.3">
      <c r="A309" s="5" t="s">
        <v>36</v>
      </c>
      <c r="B309" s="5">
        <v>2009</v>
      </c>
      <c r="C309" s="5" t="s">
        <v>37</v>
      </c>
      <c r="D309" s="9">
        <v>4420.761082</v>
      </c>
      <c r="E309" s="7">
        <f t="shared" si="5"/>
        <v>3886729950.629827</v>
      </c>
      <c r="F309" s="7">
        <v>1201608.03861983</v>
      </c>
      <c r="G309" s="7">
        <v>736479319.51441908</v>
      </c>
      <c r="H309" s="7"/>
      <c r="I309" s="7">
        <v>737680927.55303895</v>
      </c>
      <c r="J309" s="6">
        <v>8.8025531990487025</v>
      </c>
      <c r="K309" s="7">
        <v>899.14090179665072</v>
      </c>
      <c r="L309" s="7">
        <v>88007636</v>
      </c>
      <c r="M309" s="6">
        <v>33.2412128</v>
      </c>
      <c r="N309" s="6">
        <v>41.213611</v>
      </c>
      <c r="O309" s="6">
        <v>43.512787400000001</v>
      </c>
      <c r="P309" s="6">
        <v>42.530883099999997</v>
      </c>
      <c r="Q309" s="6">
        <v>41.623091199999998</v>
      </c>
      <c r="R309" s="6">
        <v>35.379951300000002</v>
      </c>
      <c r="S309" s="5">
        <v>1</v>
      </c>
      <c r="T309" s="5">
        <v>1</v>
      </c>
      <c r="U309" s="5">
        <v>0</v>
      </c>
    </row>
    <row r="310" spans="1:21" x14ac:dyDescent="0.3">
      <c r="A310" s="2" t="s">
        <v>36</v>
      </c>
      <c r="B310" s="2">
        <v>2010</v>
      </c>
      <c r="C310" s="2" t="s">
        <v>37</v>
      </c>
      <c r="D310" s="8">
        <v>4010.6657759999998</v>
      </c>
      <c r="E310" s="4">
        <f t="shared" si="5"/>
        <v>3526174453.7646141</v>
      </c>
      <c r="F310" s="4">
        <v>451419116.69165862</v>
      </c>
      <c r="G310" s="4">
        <v>1466269936.446342</v>
      </c>
      <c r="H310" s="4"/>
      <c r="I310" s="4">
        <v>1917689053.138001</v>
      </c>
      <c r="J310" s="3">
        <v>12.550538334763271</v>
      </c>
      <c r="K310" s="4">
        <v>995.65397857874666</v>
      </c>
      <c r="L310" s="4">
        <v>90538514</v>
      </c>
      <c r="M310" s="3">
        <v>33.690746900000001</v>
      </c>
      <c r="N310" s="3">
        <v>42.060345499999997</v>
      </c>
      <c r="O310" s="3">
        <v>38.972655199999998</v>
      </c>
      <c r="P310" s="3">
        <v>43.495622500000003</v>
      </c>
      <c r="Q310" s="3">
        <v>42.5599627</v>
      </c>
      <c r="R310" s="3">
        <v>34.9886166</v>
      </c>
      <c r="S310" s="2">
        <v>1</v>
      </c>
      <c r="T310" s="2">
        <v>1</v>
      </c>
      <c r="U310" s="2">
        <v>0</v>
      </c>
    </row>
    <row r="311" spans="1:21" x14ac:dyDescent="0.3">
      <c r="A311" s="5" t="s">
        <v>36</v>
      </c>
      <c r="B311" s="5">
        <v>2011</v>
      </c>
      <c r="C311" s="5" t="s">
        <v>37</v>
      </c>
      <c r="D311" s="9">
        <v>3876.2799490000002</v>
      </c>
      <c r="E311" s="7">
        <f t="shared" si="5"/>
        <v>3408022531.7193828</v>
      </c>
      <c r="F311" s="7">
        <v>691685084.6805135</v>
      </c>
      <c r="G311" s="7">
        <v>657306491.63487947</v>
      </c>
      <c r="H311" s="7"/>
      <c r="I311" s="7">
        <v>1348991576.315393</v>
      </c>
      <c r="J311" s="6">
        <v>11.178296229700759</v>
      </c>
      <c r="K311" s="7">
        <v>1098.115157287868</v>
      </c>
      <c r="L311" s="7">
        <v>93149970</v>
      </c>
      <c r="M311" s="6">
        <v>35.597418500000003</v>
      </c>
      <c r="N311" s="6">
        <v>41.289413499999988</v>
      </c>
      <c r="O311" s="6">
        <v>39.790378699999998</v>
      </c>
      <c r="P311" s="6">
        <v>41.274172100000001</v>
      </c>
      <c r="Q311" s="6">
        <v>42.378450000000001</v>
      </c>
      <c r="R311" s="6">
        <v>34.639177699999998</v>
      </c>
      <c r="S311" s="5">
        <v>1</v>
      </c>
      <c r="T311" s="5">
        <v>1</v>
      </c>
      <c r="U311" s="5">
        <v>0</v>
      </c>
    </row>
    <row r="312" spans="1:21" x14ac:dyDescent="0.3">
      <c r="A312" s="2" t="s">
        <v>36</v>
      </c>
      <c r="B312" s="2">
        <v>2012</v>
      </c>
      <c r="C312" s="2" t="s">
        <v>37</v>
      </c>
      <c r="D312" s="8">
        <v>3632.1068970000001</v>
      </c>
      <c r="E312" s="4">
        <f t="shared" si="5"/>
        <v>3193345760.742259</v>
      </c>
      <c r="F312" s="4">
        <v>79064574.979376033</v>
      </c>
      <c r="G312" s="4"/>
      <c r="H312" s="4">
        <v>159652768.31269029</v>
      </c>
      <c r="I312" s="4">
        <v>238717343.29206631</v>
      </c>
      <c r="J312" s="3">
        <v>8.6478116351392629</v>
      </c>
      <c r="K312" s="4">
        <v>1178.9747455302629</v>
      </c>
      <c r="L312" s="4">
        <v>95798767</v>
      </c>
      <c r="M312" s="3">
        <v>35.4939599</v>
      </c>
      <c r="N312" s="3">
        <v>43.149622899999997</v>
      </c>
      <c r="O312" s="3">
        <v>38.332633199999997</v>
      </c>
      <c r="P312" s="3">
        <v>40.394074799999999</v>
      </c>
      <c r="Q312" s="3">
        <v>44.073530499999997</v>
      </c>
      <c r="R312" s="3">
        <v>34.888500700000002</v>
      </c>
      <c r="S312" s="2">
        <v>1</v>
      </c>
      <c r="T312" s="2">
        <v>1</v>
      </c>
      <c r="U312" s="2">
        <v>0</v>
      </c>
    </row>
    <row r="313" spans="1:21" x14ac:dyDescent="0.3">
      <c r="A313" s="5" t="s">
        <v>36</v>
      </c>
      <c r="B313" s="5">
        <v>2013</v>
      </c>
      <c r="C313" s="5" t="s">
        <v>37</v>
      </c>
      <c r="D313" s="9">
        <v>4282.0920489999999</v>
      </c>
      <c r="E313" s="7">
        <f t="shared" si="5"/>
        <v>3764812236.9627175</v>
      </c>
      <c r="F313" s="7">
        <v>288749623.58626741</v>
      </c>
      <c r="G313" s="7">
        <v>5583758839.6157598</v>
      </c>
      <c r="H313" s="7">
        <v>0</v>
      </c>
      <c r="I313" s="7">
        <v>5872508463.2020273</v>
      </c>
      <c r="J313" s="6">
        <v>10.5822700502552</v>
      </c>
      <c r="K313" s="7">
        <v>1252.868964080043</v>
      </c>
      <c r="L313" s="7">
        <v>98438751</v>
      </c>
      <c r="M313" s="6">
        <v>36.372748199999997</v>
      </c>
      <c r="N313" s="6">
        <v>41.214579299999997</v>
      </c>
      <c r="O313" s="6">
        <v>42.0613399</v>
      </c>
      <c r="P313" s="6">
        <v>38.015386599999999</v>
      </c>
      <c r="Q313" s="6">
        <v>42.407138499999988</v>
      </c>
      <c r="R313" s="6">
        <v>33.695198499999996</v>
      </c>
      <c r="S313" s="5">
        <v>1</v>
      </c>
      <c r="T313" s="5">
        <v>1</v>
      </c>
      <c r="U313" s="5">
        <v>0</v>
      </c>
    </row>
    <row r="314" spans="1:21" x14ac:dyDescent="0.3">
      <c r="A314" s="2" t="s">
        <v>36</v>
      </c>
      <c r="B314" s="2">
        <v>2014</v>
      </c>
      <c r="C314" s="2" t="s">
        <v>37</v>
      </c>
      <c r="D314" s="8">
        <v>3964.1805939999999</v>
      </c>
      <c r="E314" s="4">
        <f t="shared" si="5"/>
        <v>3485304715.3217173</v>
      </c>
      <c r="F314" s="4">
        <v>4011672.8789800708</v>
      </c>
      <c r="G314" s="4">
        <v>1267267392.998044</v>
      </c>
      <c r="H314" s="4"/>
      <c r="I314" s="4">
        <v>1271279065.8770239</v>
      </c>
      <c r="J314" s="3">
        <v>10.257492962747721</v>
      </c>
      <c r="K314" s="4">
        <v>1484.631455666075</v>
      </c>
      <c r="L314" s="4">
        <v>101115610</v>
      </c>
      <c r="M314" s="3">
        <v>36.8643462</v>
      </c>
      <c r="N314" s="3">
        <v>42.563000700000003</v>
      </c>
      <c r="O314" s="3">
        <v>45.797495900000001</v>
      </c>
      <c r="P314" s="3">
        <v>40.599395000000001</v>
      </c>
      <c r="Q314" s="3">
        <v>43.998761999999999</v>
      </c>
      <c r="R314" s="3">
        <v>34.063412300000003</v>
      </c>
      <c r="S314" s="2">
        <v>1</v>
      </c>
      <c r="T314" s="2">
        <v>1</v>
      </c>
      <c r="U314" s="2">
        <v>0</v>
      </c>
    </row>
    <row r="315" spans="1:21" x14ac:dyDescent="0.3">
      <c r="A315" s="5" t="s">
        <v>36</v>
      </c>
      <c r="B315" s="5">
        <v>2015</v>
      </c>
      <c r="C315" s="5" t="s">
        <v>37</v>
      </c>
      <c r="D315" s="9">
        <v>4014.7776650000001</v>
      </c>
      <c r="E315" s="7">
        <f t="shared" si="5"/>
        <v>3529789623.603817</v>
      </c>
      <c r="F315" s="7">
        <v>53723440.528882056</v>
      </c>
      <c r="G315" s="7">
        <v>779133513.72513902</v>
      </c>
      <c r="H315" s="7"/>
      <c r="I315" s="7">
        <v>832856954.25402105</v>
      </c>
      <c r="J315" s="6">
        <v>10.39246301413066</v>
      </c>
      <c r="K315" s="7">
        <v>1632.6181800683671</v>
      </c>
      <c r="L315" s="7">
        <v>103867135</v>
      </c>
      <c r="M315" s="6">
        <v>37.336789699999997</v>
      </c>
      <c r="N315" s="6">
        <v>41.038013999999997</v>
      </c>
      <c r="O315" s="6">
        <v>44.3110499</v>
      </c>
      <c r="P315" s="6">
        <v>40.623082099999998</v>
      </c>
      <c r="Q315" s="6">
        <v>43.106870699999988</v>
      </c>
      <c r="R315" s="6">
        <v>33.842063600000003</v>
      </c>
      <c r="S315" s="5">
        <v>1</v>
      </c>
      <c r="T315" s="5">
        <v>1</v>
      </c>
      <c r="U315" s="5">
        <v>0</v>
      </c>
    </row>
    <row r="316" spans="1:21" x14ac:dyDescent="0.3">
      <c r="A316" s="2" t="s">
        <v>36</v>
      </c>
      <c r="B316" s="2">
        <v>2016</v>
      </c>
      <c r="C316" s="2" t="s">
        <v>37</v>
      </c>
      <c r="D316" s="8">
        <v>5138.4696260000001</v>
      </c>
      <c r="E316" s="4">
        <f t="shared" si="5"/>
        <v>4517738784.1869907</v>
      </c>
      <c r="F316" s="4">
        <v>393119996.33512747</v>
      </c>
      <c r="G316" s="4">
        <v>589645621.65527499</v>
      </c>
      <c r="H316" s="4"/>
      <c r="I316" s="4">
        <v>982765617.99040246</v>
      </c>
      <c r="J316" s="3">
        <v>9.4334826598190489</v>
      </c>
      <c r="K316" s="4">
        <v>1857.549465152244</v>
      </c>
      <c r="L316" s="4">
        <v>106718162</v>
      </c>
      <c r="M316" s="3">
        <v>39.031734899999996</v>
      </c>
      <c r="N316" s="3">
        <v>42.063724899999997</v>
      </c>
      <c r="O316" s="3">
        <v>41.302737499999999</v>
      </c>
      <c r="P316" s="3">
        <v>39.7007616</v>
      </c>
      <c r="Q316" s="3">
        <v>43.220845099999998</v>
      </c>
      <c r="R316" s="3">
        <v>33.421641600000001</v>
      </c>
      <c r="S316" s="2">
        <v>1</v>
      </c>
      <c r="T316" s="2">
        <v>1</v>
      </c>
      <c r="U316" s="2">
        <v>0</v>
      </c>
    </row>
    <row r="317" spans="1:21" x14ac:dyDescent="0.3">
      <c r="A317" s="5" t="s">
        <v>36</v>
      </c>
      <c r="B317" s="5">
        <v>2017</v>
      </c>
      <c r="C317" s="5" t="s">
        <v>37</v>
      </c>
      <c r="D317" s="9">
        <v>5136.1309629999996</v>
      </c>
      <c r="E317" s="7">
        <f t="shared" si="5"/>
        <v>4515682633.3663673</v>
      </c>
      <c r="F317" s="7">
        <v>23990901.99465714</v>
      </c>
      <c r="G317" s="7">
        <v>866228057.24120009</v>
      </c>
      <c r="H317" s="7">
        <v>103500584.41135</v>
      </c>
      <c r="I317" s="7">
        <v>993719543.64720726</v>
      </c>
      <c r="J317" s="6">
        <v>9.5641896575401404</v>
      </c>
      <c r="K317" s="7">
        <v>2004.747556331291</v>
      </c>
      <c r="L317" s="7">
        <v>109666481</v>
      </c>
      <c r="M317" s="6">
        <v>36.419410999999997</v>
      </c>
      <c r="N317" s="6">
        <v>41.071549099999999</v>
      </c>
      <c r="O317" s="6">
        <v>39.937663099999988</v>
      </c>
      <c r="P317" s="6">
        <v>40.691454399999998</v>
      </c>
      <c r="Q317" s="6">
        <v>43.497286899999999</v>
      </c>
      <c r="R317" s="6">
        <v>32.875677699999997</v>
      </c>
      <c r="S317" s="5">
        <v>0</v>
      </c>
      <c r="T317" s="5">
        <v>0</v>
      </c>
      <c r="U317" s="5">
        <v>0</v>
      </c>
    </row>
    <row r="318" spans="1:21" x14ac:dyDescent="0.3">
      <c r="A318" s="2" t="s">
        <v>36</v>
      </c>
      <c r="B318" s="2">
        <v>2018</v>
      </c>
      <c r="C318" s="2" t="s">
        <v>37</v>
      </c>
      <c r="D318" s="8">
        <v>5811.1334020000004</v>
      </c>
      <c r="E318" s="4">
        <f t="shared" si="5"/>
        <v>5109144290.249794</v>
      </c>
      <c r="F318" s="4">
        <v>414113883.04930693</v>
      </c>
      <c r="G318" s="4">
        <v>2807452950.53547</v>
      </c>
      <c r="H318" s="4">
        <v>0</v>
      </c>
      <c r="I318" s="4">
        <v>3221566833.5847769</v>
      </c>
      <c r="J318" s="3">
        <v>6.8161477855728236</v>
      </c>
      <c r="K318" s="4">
        <v>2095.3175782979019</v>
      </c>
      <c r="L318" s="4">
        <v>112664152</v>
      </c>
      <c r="M318" s="3">
        <v>38.614002200000002</v>
      </c>
      <c r="N318" s="3">
        <v>40.979121900000003</v>
      </c>
      <c r="O318" s="3">
        <v>45.303812000000001</v>
      </c>
      <c r="P318" s="3">
        <v>41.514772999999998</v>
      </c>
      <c r="Q318" s="3">
        <v>43.301479</v>
      </c>
      <c r="R318" s="3">
        <v>36.3631326</v>
      </c>
      <c r="S318" s="2">
        <v>0</v>
      </c>
      <c r="T318" s="2">
        <v>0</v>
      </c>
      <c r="U318" s="2">
        <v>0</v>
      </c>
    </row>
    <row r="319" spans="1:21" x14ac:dyDescent="0.3">
      <c r="A319" s="5" t="s">
        <v>36</v>
      </c>
      <c r="B319" s="5">
        <v>2019</v>
      </c>
      <c r="C319" s="5" t="s">
        <v>37</v>
      </c>
      <c r="D319" s="9">
        <v>5602.7255610000002</v>
      </c>
      <c r="E319" s="7">
        <f t="shared" si="5"/>
        <v>4925912266.9543076</v>
      </c>
      <c r="F319" s="7">
        <v>61253079.00004293</v>
      </c>
      <c r="G319" s="7"/>
      <c r="H319" s="7"/>
      <c r="I319" s="7">
        <v>61253079.00004293</v>
      </c>
      <c r="J319" s="6">
        <v>8.3640857331405414</v>
      </c>
      <c r="K319" s="7">
        <v>2242.4448831046438</v>
      </c>
      <c r="L319" s="7">
        <v>115737383</v>
      </c>
      <c r="M319" s="6">
        <v>39.214689999999997</v>
      </c>
      <c r="N319" s="6">
        <v>41.125803699999999</v>
      </c>
      <c r="O319" s="6">
        <v>45.755577600000002</v>
      </c>
      <c r="P319" s="6">
        <v>41.802823799999999</v>
      </c>
      <c r="Q319" s="6">
        <v>43.5958009</v>
      </c>
      <c r="R319" s="6">
        <v>39.0548474</v>
      </c>
      <c r="S319" s="5">
        <v>1</v>
      </c>
      <c r="T319" s="5">
        <v>1</v>
      </c>
      <c r="U319" s="5">
        <v>0</v>
      </c>
    </row>
    <row r="320" spans="1:21" x14ac:dyDescent="0.3">
      <c r="A320" s="2" t="s">
        <v>36</v>
      </c>
      <c r="B320" s="2">
        <v>2020</v>
      </c>
      <c r="C320" s="2" t="s">
        <v>37</v>
      </c>
      <c r="D320" s="8">
        <v>6136.6863160000003</v>
      </c>
      <c r="E320" s="4">
        <f t="shared" si="5"/>
        <v>5395370177.1249475</v>
      </c>
      <c r="F320" s="4">
        <v>15259963.517482709</v>
      </c>
      <c r="G320" s="4"/>
      <c r="H320" s="4">
        <v>0</v>
      </c>
      <c r="I320" s="4">
        <v>15259963.517482709</v>
      </c>
      <c r="J320" s="3">
        <v>6.0595308905480749</v>
      </c>
      <c r="K320" s="4">
        <v>2406.789384786689</v>
      </c>
      <c r="L320" s="4">
        <v>118917671</v>
      </c>
      <c r="M320" s="3">
        <v>40.394631799999999</v>
      </c>
      <c r="N320" s="3">
        <v>40.613416800000003</v>
      </c>
      <c r="O320" s="3">
        <v>38.676412399999997</v>
      </c>
      <c r="P320" s="3">
        <v>41.995372400000001</v>
      </c>
      <c r="Q320" s="3">
        <v>42.956113500000001</v>
      </c>
      <c r="R320" s="3">
        <v>38.681220000000003</v>
      </c>
      <c r="S320" s="2">
        <v>1</v>
      </c>
      <c r="T320" s="2">
        <v>2</v>
      </c>
      <c r="U320" s="2">
        <v>1</v>
      </c>
    </row>
    <row r="321" spans="1:21" x14ac:dyDescent="0.3">
      <c r="A321" s="5" t="s">
        <v>36</v>
      </c>
      <c r="B321" s="5">
        <v>2021</v>
      </c>
      <c r="C321" s="5" t="s">
        <v>37</v>
      </c>
      <c r="D321" s="9">
        <v>4543.824877</v>
      </c>
      <c r="E321" s="7">
        <f t="shared" si="5"/>
        <v>3994927550.3174067</v>
      </c>
      <c r="F321" s="7">
        <v>69302799.990974218</v>
      </c>
      <c r="G321" s="7"/>
      <c r="H321" s="7">
        <v>0</v>
      </c>
      <c r="I321" s="7">
        <v>69302799.990974218</v>
      </c>
      <c r="J321" s="6">
        <v>5.6415306925707682</v>
      </c>
      <c r="K321" s="7">
        <v>2588.4131021588369</v>
      </c>
      <c r="L321" s="7">
        <v>122138588</v>
      </c>
      <c r="M321" s="6">
        <v>39.7519469</v>
      </c>
      <c r="N321" s="6">
        <v>38.6928804</v>
      </c>
      <c r="O321" s="6">
        <v>31.492793200000001</v>
      </c>
      <c r="P321" s="6">
        <v>42.743210599999998</v>
      </c>
      <c r="Q321" s="6">
        <v>40.641160300000003</v>
      </c>
      <c r="R321" s="6">
        <v>38.087752600000002</v>
      </c>
      <c r="S321" s="5">
        <v>1</v>
      </c>
      <c r="T321" s="5">
        <v>2</v>
      </c>
      <c r="U321" s="5">
        <v>1</v>
      </c>
    </row>
    <row r="322" spans="1:21" x14ac:dyDescent="0.3">
      <c r="A322" s="5" t="s">
        <v>38</v>
      </c>
      <c r="B322" s="5">
        <v>2002</v>
      </c>
      <c r="C322" s="5" t="s">
        <v>39</v>
      </c>
      <c r="D322" s="9">
        <v>144.289781</v>
      </c>
      <c r="E322" s="7">
        <f t="shared" si="5"/>
        <v>126859471.24941653</v>
      </c>
      <c r="F322" s="7">
        <v>845530.70796515699</v>
      </c>
      <c r="G322" s="7"/>
      <c r="H322" s="7"/>
      <c r="I322" s="7">
        <v>845530.70796515699</v>
      </c>
      <c r="J322" s="6">
        <v>-0.24903316854343421</v>
      </c>
      <c r="K322" s="7">
        <v>13369.123337446839</v>
      </c>
      <c r="L322" s="7">
        <v>1345135</v>
      </c>
      <c r="M322" s="6">
        <v>33.731592300000003</v>
      </c>
      <c r="N322" s="6">
        <v>39.561300899999999</v>
      </c>
      <c r="O322" s="6">
        <v>67.469878800000004</v>
      </c>
      <c r="P322" s="6">
        <v>52.2240313</v>
      </c>
      <c r="Q322" s="6">
        <v>51.648609800000003</v>
      </c>
      <c r="R322" s="6">
        <v>42.1066881</v>
      </c>
      <c r="S322" s="5">
        <v>0</v>
      </c>
      <c r="T322" s="5">
        <v>0</v>
      </c>
      <c r="U322" s="5">
        <v>0</v>
      </c>
    </row>
    <row r="323" spans="1:21" x14ac:dyDescent="0.3">
      <c r="A323" s="2" t="s">
        <v>38</v>
      </c>
      <c r="B323" s="2">
        <v>2003</v>
      </c>
      <c r="C323" s="2" t="s">
        <v>39</v>
      </c>
      <c r="D323" s="8">
        <v>169.697304</v>
      </c>
      <c r="E323" s="4">
        <f t="shared" si="5"/>
        <v>149197747.1217556</v>
      </c>
      <c r="F323" s="4">
        <v>0</v>
      </c>
      <c r="G323" s="4"/>
      <c r="H323" s="4">
        <v>0</v>
      </c>
      <c r="I323" s="4">
        <v>0</v>
      </c>
      <c r="J323" s="3">
        <v>2.2473300115045021</v>
      </c>
      <c r="K323" s="4">
        <v>13564.180414140479</v>
      </c>
      <c r="L323" s="4">
        <v>1382350</v>
      </c>
      <c r="M323" s="3">
        <v>33.713500400000001</v>
      </c>
      <c r="N323" s="3">
        <v>39.446256499999997</v>
      </c>
      <c r="O323" s="3">
        <v>63.015627799999997</v>
      </c>
      <c r="P323" s="3">
        <v>50.401588500000003</v>
      </c>
      <c r="Q323" s="3">
        <v>50.015345099999998</v>
      </c>
      <c r="R323" s="3">
        <v>38.866046300000001</v>
      </c>
      <c r="S323" s="2">
        <v>0</v>
      </c>
      <c r="T323" s="2">
        <v>0</v>
      </c>
      <c r="U323" s="2">
        <v>0</v>
      </c>
    </row>
    <row r="324" spans="1:21" x14ac:dyDescent="0.3">
      <c r="A324" s="5" t="s">
        <v>38</v>
      </c>
      <c r="B324" s="5">
        <v>2004</v>
      </c>
      <c r="C324" s="5" t="s">
        <v>39</v>
      </c>
      <c r="D324" s="9">
        <v>100.315777</v>
      </c>
      <c r="E324" s="7">
        <f t="shared" si="5"/>
        <v>88197558.690551907</v>
      </c>
      <c r="F324" s="7"/>
      <c r="G324" s="7">
        <v>0</v>
      </c>
      <c r="H324" s="7"/>
      <c r="I324" s="7">
        <v>0</v>
      </c>
      <c r="J324" s="6">
        <v>0.68954305846484942</v>
      </c>
      <c r="K324" s="7">
        <v>13637.666797119549</v>
      </c>
      <c r="L324" s="7">
        <v>1421609</v>
      </c>
      <c r="M324" s="6">
        <v>29.7156293</v>
      </c>
      <c r="N324" s="6">
        <v>29.9744113</v>
      </c>
      <c r="O324" s="6">
        <v>65.708072299999998</v>
      </c>
      <c r="P324" s="6">
        <v>45.005275500000003</v>
      </c>
      <c r="Q324" s="6">
        <v>49.119679400000003</v>
      </c>
      <c r="R324" s="6">
        <v>37.2117565</v>
      </c>
      <c r="S324" s="5">
        <v>0</v>
      </c>
      <c r="T324" s="5">
        <v>0</v>
      </c>
      <c r="U324" s="5">
        <v>0</v>
      </c>
    </row>
    <row r="325" spans="1:21" x14ac:dyDescent="0.3">
      <c r="A325" s="2" t="s">
        <v>38</v>
      </c>
      <c r="B325" s="2">
        <v>2005</v>
      </c>
      <c r="C325" s="2" t="s">
        <v>39</v>
      </c>
      <c r="D325" s="8">
        <v>118.15270099999999</v>
      </c>
      <c r="E325" s="4">
        <f t="shared" si="5"/>
        <v>103879769.38956201</v>
      </c>
      <c r="F325" s="4">
        <v>794601.56020742503</v>
      </c>
      <c r="G325" s="4"/>
      <c r="H325" s="4"/>
      <c r="I325" s="4">
        <v>794601.56020742503</v>
      </c>
      <c r="J325" s="3">
        <v>2.6762033331092572</v>
      </c>
      <c r="K325" s="4">
        <v>14028.356207938959</v>
      </c>
      <c r="L325" s="4">
        <v>1463495</v>
      </c>
      <c r="M325" s="3">
        <v>31.2012891</v>
      </c>
      <c r="N325" s="3">
        <v>31.086303999999998</v>
      </c>
      <c r="O325" s="3">
        <v>66.763052399999992</v>
      </c>
      <c r="P325" s="3">
        <v>48.266649100000002</v>
      </c>
      <c r="Q325" s="3">
        <v>49.806925199999988</v>
      </c>
      <c r="R325" s="3">
        <v>38.202759700000001</v>
      </c>
      <c r="S325" s="2">
        <v>0</v>
      </c>
      <c r="T325" s="2">
        <v>0</v>
      </c>
      <c r="U325" s="2">
        <v>0</v>
      </c>
    </row>
    <row r="326" spans="1:21" x14ac:dyDescent="0.3">
      <c r="A326" s="5" t="s">
        <v>38</v>
      </c>
      <c r="B326" s="5">
        <v>2006</v>
      </c>
      <c r="C326" s="5" t="s">
        <v>39</v>
      </c>
      <c r="D326" s="9">
        <v>98.238004000000004</v>
      </c>
      <c r="E326" s="7">
        <f t="shared" si="5"/>
        <v>86370782.169515297</v>
      </c>
      <c r="F326" s="7">
        <v>12743686.5640857</v>
      </c>
      <c r="G326" s="7"/>
      <c r="H326" s="7"/>
      <c r="I326" s="7">
        <v>12743686.5640857</v>
      </c>
      <c r="J326" s="6">
        <v>-2.8065783556905188</v>
      </c>
      <c r="K326" s="7">
        <v>13637.259018899749</v>
      </c>
      <c r="L326" s="7">
        <v>1508337</v>
      </c>
      <c r="M326" s="6">
        <v>30.8156596</v>
      </c>
      <c r="N326" s="6">
        <v>36.201700899999999</v>
      </c>
      <c r="O326" s="6">
        <v>66.763846700000002</v>
      </c>
      <c r="P326" s="6">
        <v>46.214971800000001</v>
      </c>
      <c r="Q326" s="6">
        <v>44.6685406</v>
      </c>
      <c r="R326" s="6">
        <v>39.042177299999999</v>
      </c>
      <c r="S326" s="5">
        <v>0</v>
      </c>
      <c r="T326" s="5">
        <v>0</v>
      </c>
      <c r="U326" s="5">
        <v>0</v>
      </c>
    </row>
    <row r="327" spans="1:21" x14ac:dyDescent="0.3">
      <c r="A327" s="2" t="s">
        <v>38</v>
      </c>
      <c r="B327" s="2">
        <v>2007</v>
      </c>
      <c r="C327" s="2" t="s">
        <v>39</v>
      </c>
      <c r="D327" s="8">
        <v>100.439143</v>
      </c>
      <c r="E327" s="4">
        <f t="shared" si="5"/>
        <v>88306021.988657221</v>
      </c>
      <c r="F327" s="4">
        <v>118275.917184137</v>
      </c>
      <c r="G327" s="4"/>
      <c r="H327" s="4">
        <v>7051137.0788495401</v>
      </c>
      <c r="I327" s="4">
        <v>7169412.9960336769</v>
      </c>
      <c r="J327" s="3">
        <v>6.0081080248766767</v>
      </c>
      <c r="K327" s="4">
        <v>14391.246586813169</v>
      </c>
      <c r="L327" s="4">
        <v>1556237</v>
      </c>
      <c r="M327" s="3">
        <v>28.327329299999999</v>
      </c>
      <c r="N327" s="3">
        <v>36.236811000000003</v>
      </c>
      <c r="O327" s="3">
        <v>68.307095899999993</v>
      </c>
      <c r="P327" s="3">
        <v>47.198220499999998</v>
      </c>
      <c r="Q327" s="3">
        <v>46.040180300000003</v>
      </c>
      <c r="R327" s="3">
        <v>40.836674299999999</v>
      </c>
      <c r="S327" s="2">
        <v>0</v>
      </c>
      <c r="T327" s="2">
        <v>0</v>
      </c>
      <c r="U327" s="2">
        <v>0</v>
      </c>
    </row>
    <row r="328" spans="1:21" x14ac:dyDescent="0.3">
      <c r="A328" s="5" t="s">
        <v>38</v>
      </c>
      <c r="B328" s="5">
        <v>2008</v>
      </c>
      <c r="C328" s="5" t="s">
        <v>39</v>
      </c>
      <c r="D328" s="9">
        <v>89.337163000000004</v>
      </c>
      <c r="E328" s="7">
        <f t="shared" si="5"/>
        <v>78545169.19048439</v>
      </c>
      <c r="F328" s="7">
        <v>113301857.11073519</v>
      </c>
      <c r="G328" s="7">
        <v>457375776.58471501</v>
      </c>
      <c r="H328" s="7"/>
      <c r="I328" s="7">
        <v>570677633.69545019</v>
      </c>
      <c r="J328" s="6">
        <v>-3.3084306487875068</v>
      </c>
      <c r="K328" s="7">
        <v>13733.70128621223</v>
      </c>
      <c r="L328" s="7">
        <v>1607175</v>
      </c>
      <c r="M328" s="6">
        <v>28.8319224</v>
      </c>
      <c r="N328" s="6">
        <v>36.264195899999997</v>
      </c>
      <c r="O328" s="6">
        <v>67.107125400000001</v>
      </c>
      <c r="P328" s="6">
        <v>48.137310799999987</v>
      </c>
      <c r="Q328" s="6">
        <v>46.587152000000003</v>
      </c>
      <c r="R328" s="6">
        <v>42.2790964</v>
      </c>
      <c r="S328" s="5">
        <v>0</v>
      </c>
      <c r="T328" s="5">
        <v>0</v>
      </c>
      <c r="U328" s="5">
        <v>0</v>
      </c>
    </row>
    <row r="329" spans="1:21" x14ac:dyDescent="0.3">
      <c r="A329" s="2" t="s">
        <v>38</v>
      </c>
      <c r="B329" s="2">
        <v>2009</v>
      </c>
      <c r="C329" s="2" t="s">
        <v>39</v>
      </c>
      <c r="D329" s="8">
        <v>108.662616</v>
      </c>
      <c r="E329" s="4">
        <f t="shared" si="5"/>
        <v>95536093.511281922</v>
      </c>
      <c r="F329" s="4">
        <v>10993257.884250799</v>
      </c>
      <c r="G329" s="4">
        <v>185580430.30710801</v>
      </c>
      <c r="H329" s="4"/>
      <c r="I329" s="4">
        <v>196573688.1913588</v>
      </c>
      <c r="J329" s="3">
        <v>0.13033111981661699</v>
      </c>
      <c r="K329" s="4">
        <v>13383.56622731845</v>
      </c>
      <c r="L329" s="4">
        <v>1661556</v>
      </c>
      <c r="M329" s="3">
        <v>28.831634900000001</v>
      </c>
      <c r="N329" s="3">
        <v>39.421455600000002</v>
      </c>
      <c r="O329" s="3">
        <v>63.924411599999999</v>
      </c>
      <c r="P329" s="3">
        <v>47.548445399999999</v>
      </c>
      <c r="Q329" s="3">
        <v>45.892092499999997</v>
      </c>
      <c r="R329" s="3">
        <v>40.160271299999998</v>
      </c>
      <c r="S329" s="2">
        <v>0</v>
      </c>
      <c r="T329" s="2">
        <v>0</v>
      </c>
      <c r="U329" s="2">
        <v>0</v>
      </c>
    </row>
    <row r="330" spans="1:21" x14ac:dyDescent="0.3">
      <c r="A330" s="5" t="s">
        <v>38</v>
      </c>
      <c r="B330" s="5">
        <v>2010</v>
      </c>
      <c r="C330" s="5" t="s">
        <v>39</v>
      </c>
      <c r="D330" s="9">
        <v>123.791146</v>
      </c>
      <c r="E330" s="7">
        <f t="shared" si="5"/>
        <v>108837086.16148862</v>
      </c>
      <c r="F330" s="7">
        <v>19237439.584501021</v>
      </c>
      <c r="G330" s="7">
        <v>153060690.24400601</v>
      </c>
      <c r="H330" s="7"/>
      <c r="I330" s="7">
        <v>172298129.82850701</v>
      </c>
      <c r="J330" s="6">
        <v>7.0898873145512624</v>
      </c>
      <c r="K330" s="7">
        <v>14014.690549112231</v>
      </c>
      <c r="L330" s="7">
        <v>1719879</v>
      </c>
      <c r="M330" s="6">
        <v>31.861436399999999</v>
      </c>
      <c r="N330" s="6">
        <v>40.0367344</v>
      </c>
      <c r="O330" s="6">
        <v>65.878507400000004</v>
      </c>
      <c r="P330" s="6">
        <v>48.373011599999998</v>
      </c>
      <c r="Q330" s="6">
        <v>46.562638799999988</v>
      </c>
      <c r="R330" s="6">
        <v>41.77702</v>
      </c>
      <c r="S330" s="5">
        <v>0</v>
      </c>
      <c r="T330" s="5">
        <v>0</v>
      </c>
      <c r="U330" s="5">
        <v>0</v>
      </c>
    </row>
    <row r="331" spans="1:21" x14ac:dyDescent="0.3">
      <c r="A331" s="2" t="s">
        <v>38</v>
      </c>
      <c r="B331" s="2">
        <v>2011</v>
      </c>
      <c r="C331" s="2" t="s">
        <v>39</v>
      </c>
      <c r="D331" s="8">
        <v>99.990354999999994</v>
      </c>
      <c r="E331" s="4">
        <f t="shared" si="5"/>
        <v>87911447.903170988</v>
      </c>
      <c r="F331" s="4">
        <v>171551266.04090321</v>
      </c>
      <c r="G331" s="4"/>
      <c r="H331" s="4">
        <v>156418302.62334999</v>
      </c>
      <c r="I331" s="4">
        <v>327969568.66425318</v>
      </c>
      <c r="J331" s="3">
        <v>7.0917533425865429</v>
      </c>
      <c r="K331" s="4">
        <v>14784.348355188329</v>
      </c>
      <c r="L331" s="4">
        <v>1781985</v>
      </c>
      <c r="M331" s="3">
        <v>33.073922500000002</v>
      </c>
      <c r="N331" s="3">
        <v>35.875360299999997</v>
      </c>
      <c r="O331" s="3">
        <v>65.470907999999994</v>
      </c>
      <c r="P331" s="3">
        <v>46.679642000000001</v>
      </c>
      <c r="Q331" s="3">
        <v>48.034262299999988</v>
      </c>
      <c r="R331" s="3">
        <v>41.119924099999999</v>
      </c>
      <c r="S331" s="2">
        <v>0</v>
      </c>
      <c r="T331" s="2">
        <v>0</v>
      </c>
      <c r="U331" s="2">
        <v>0</v>
      </c>
    </row>
    <row r="332" spans="1:21" x14ac:dyDescent="0.3">
      <c r="A332" s="5" t="s">
        <v>38</v>
      </c>
      <c r="B332" s="5">
        <v>2012</v>
      </c>
      <c r="C332" s="5" t="s">
        <v>39</v>
      </c>
      <c r="D332" s="9">
        <v>97.339481000000006</v>
      </c>
      <c r="E332" s="7">
        <f t="shared" si="5"/>
        <v>85580801.396826759</v>
      </c>
      <c r="F332" s="7"/>
      <c r="G332" s="7"/>
      <c r="H332" s="7"/>
      <c r="I332" s="7"/>
      <c r="J332" s="6">
        <v>5.251076917504065</v>
      </c>
      <c r="K332" s="7">
        <v>14619.7181445113</v>
      </c>
      <c r="L332" s="7">
        <v>1846889</v>
      </c>
      <c r="M332" s="6">
        <v>33.993786900000003</v>
      </c>
      <c r="N332" s="6">
        <v>32.764772000000001</v>
      </c>
      <c r="O332" s="6">
        <v>66.994818999999993</v>
      </c>
      <c r="P332" s="6">
        <v>46.551125399999997</v>
      </c>
      <c r="Q332" s="6">
        <v>48.890739199999999</v>
      </c>
      <c r="R332" s="6">
        <v>42.270782699999998</v>
      </c>
      <c r="S332" s="5">
        <v>0</v>
      </c>
      <c r="T332" s="5">
        <v>0</v>
      </c>
      <c r="U332" s="5">
        <v>0</v>
      </c>
    </row>
    <row r="333" spans="1:21" x14ac:dyDescent="0.3">
      <c r="A333" s="2" t="s">
        <v>38</v>
      </c>
      <c r="B333" s="2">
        <v>2013</v>
      </c>
      <c r="C333" s="2" t="s">
        <v>39</v>
      </c>
      <c r="D333" s="8">
        <v>103.824763</v>
      </c>
      <c r="E333" s="4">
        <f t="shared" si="5"/>
        <v>91282656.647569418</v>
      </c>
      <c r="F333" s="4">
        <v>149473836.54495531</v>
      </c>
      <c r="G333" s="4">
        <v>603028712.96467698</v>
      </c>
      <c r="H333" s="4"/>
      <c r="I333" s="4">
        <v>752502549.50963223</v>
      </c>
      <c r="J333" s="3">
        <v>5.6386990033869608</v>
      </c>
      <c r="K333" s="4">
        <v>14497.992121690229</v>
      </c>
      <c r="L333" s="4">
        <v>1913059</v>
      </c>
      <c r="M333" s="3">
        <v>34.0510199</v>
      </c>
      <c r="N333" s="3">
        <v>35.092087100000001</v>
      </c>
      <c r="O333" s="3">
        <v>65.8730276</v>
      </c>
      <c r="P333" s="3">
        <v>44.478465900000003</v>
      </c>
      <c r="Q333" s="3">
        <v>45.8015264</v>
      </c>
      <c r="R333" s="3">
        <v>41.565514700000001</v>
      </c>
      <c r="S333" s="2">
        <v>0</v>
      </c>
      <c r="T333" s="2">
        <v>0</v>
      </c>
      <c r="U333" s="2">
        <v>0</v>
      </c>
    </row>
    <row r="334" spans="1:21" x14ac:dyDescent="0.3">
      <c r="A334" s="5" t="s">
        <v>38</v>
      </c>
      <c r="B334" s="5">
        <v>2014</v>
      </c>
      <c r="C334" s="5" t="s">
        <v>39</v>
      </c>
      <c r="D334" s="9">
        <v>130.163905</v>
      </c>
      <c r="E334" s="7">
        <f t="shared" si="5"/>
        <v>114440011.27189516</v>
      </c>
      <c r="F334" s="7">
        <v>0</v>
      </c>
      <c r="G334" s="7"/>
      <c r="H334" s="7"/>
      <c r="I334" s="7">
        <v>0</v>
      </c>
      <c r="J334" s="6">
        <v>4.314964441074693</v>
      </c>
      <c r="K334" s="7">
        <v>14853.67124603555</v>
      </c>
      <c r="L334" s="7">
        <v>1978399</v>
      </c>
      <c r="M334" s="6">
        <v>31.0381505</v>
      </c>
      <c r="N334" s="6">
        <v>38.091937700000003</v>
      </c>
      <c r="O334" s="6">
        <v>64.415698899999995</v>
      </c>
      <c r="P334" s="6">
        <v>44.019866100000002</v>
      </c>
      <c r="Q334" s="6">
        <v>46.360736499999987</v>
      </c>
      <c r="R334" s="6">
        <v>41.368196900000001</v>
      </c>
      <c r="S334" s="5">
        <v>0</v>
      </c>
      <c r="T334" s="5">
        <v>0</v>
      </c>
      <c r="U334" s="5">
        <v>0</v>
      </c>
    </row>
    <row r="335" spans="1:21" x14ac:dyDescent="0.3">
      <c r="A335" s="2" t="s">
        <v>38</v>
      </c>
      <c r="B335" s="2">
        <v>2015</v>
      </c>
      <c r="C335" s="2" t="s">
        <v>39</v>
      </c>
      <c r="D335" s="8">
        <v>136.50323499999999</v>
      </c>
      <c r="E335" s="4">
        <f t="shared" si="5"/>
        <v>120013545.62964404</v>
      </c>
      <c r="F335" s="4">
        <v>95869149.294502005</v>
      </c>
      <c r="G335" s="4">
        <v>304951667.70435762</v>
      </c>
      <c r="H335" s="4"/>
      <c r="I335" s="4">
        <v>400820816.99885958</v>
      </c>
      <c r="J335" s="3">
        <v>3.878899395078903</v>
      </c>
      <c r="K335" s="4">
        <v>14306.43407682518</v>
      </c>
      <c r="L335" s="4">
        <v>2040989</v>
      </c>
      <c r="M335" s="3">
        <v>32.854536699999997</v>
      </c>
      <c r="N335" s="3">
        <v>37.683212699999999</v>
      </c>
      <c r="O335" s="3">
        <v>63.933292299999998</v>
      </c>
      <c r="P335" s="3">
        <v>44.505389200000003</v>
      </c>
      <c r="Q335" s="3">
        <v>46.041350600000001</v>
      </c>
      <c r="R335" s="3">
        <v>41.298977999999998</v>
      </c>
      <c r="S335" s="2">
        <v>0</v>
      </c>
      <c r="T335" s="2">
        <v>0</v>
      </c>
      <c r="U335" s="2">
        <v>0</v>
      </c>
    </row>
    <row r="336" spans="1:21" x14ac:dyDescent="0.3">
      <c r="A336" s="5" t="s">
        <v>38</v>
      </c>
      <c r="B336" s="5">
        <v>2016</v>
      </c>
      <c r="C336" s="5" t="s">
        <v>39</v>
      </c>
      <c r="D336" s="9">
        <v>68.900649999999999</v>
      </c>
      <c r="E336" s="7">
        <f t="shared" si="5"/>
        <v>60577401.720092088</v>
      </c>
      <c r="F336" s="7">
        <v>26079079.30796995</v>
      </c>
      <c r="G336" s="7">
        <v>85720539.889222607</v>
      </c>
      <c r="H336" s="7">
        <v>181412134.29952699</v>
      </c>
      <c r="I336" s="7">
        <v>293211753.49671948</v>
      </c>
      <c r="J336" s="6">
        <v>2.0914422082956179</v>
      </c>
      <c r="K336" s="7">
        <v>13997.735284191071</v>
      </c>
      <c r="L336" s="7">
        <v>2100306</v>
      </c>
      <c r="M336" s="6">
        <v>33.900874299999998</v>
      </c>
      <c r="N336" s="6">
        <v>38.439752299999988</v>
      </c>
      <c r="O336" s="6">
        <v>56.762925000000003</v>
      </c>
      <c r="P336" s="6">
        <v>45.242613300000002</v>
      </c>
      <c r="Q336" s="6">
        <v>47.471938700000003</v>
      </c>
      <c r="R336" s="6">
        <v>40.698373099999998</v>
      </c>
      <c r="S336" s="5">
        <v>0</v>
      </c>
      <c r="T336" s="5">
        <v>0</v>
      </c>
      <c r="U336" s="5">
        <v>0</v>
      </c>
    </row>
    <row r="337" spans="1:21" x14ac:dyDescent="0.3">
      <c r="A337" s="2" t="s">
        <v>38</v>
      </c>
      <c r="B337" s="2">
        <v>2017</v>
      </c>
      <c r="C337" s="2" t="s">
        <v>39</v>
      </c>
      <c r="D337" s="8">
        <v>161.482831</v>
      </c>
      <c r="E337" s="4">
        <f t="shared" si="5"/>
        <v>141975588.39263111</v>
      </c>
      <c r="F337" s="4">
        <v>0</v>
      </c>
      <c r="G337" s="4"/>
      <c r="H337" s="4">
        <v>0</v>
      </c>
      <c r="I337" s="4">
        <v>0</v>
      </c>
      <c r="J337" s="3">
        <v>0.47264203091114609</v>
      </c>
      <c r="K337" s="4">
        <v>14796.62863741706</v>
      </c>
      <c r="L337" s="4">
        <v>2156900</v>
      </c>
      <c r="M337" s="3">
        <v>30.242435499999999</v>
      </c>
      <c r="N337" s="3">
        <v>35.2562918</v>
      </c>
      <c r="O337" s="3">
        <v>58.165577199999987</v>
      </c>
      <c r="P337" s="3">
        <v>45.049561599999997</v>
      </c>
      <c r="Q337" s="3">
        <v>45.970220500000003</v>
      </c>
      <c r="R337" s="3">
        <v>39.623258200000002</v>
      </c>
      <c r="S337" s="2">
        <v>0</v>
      </c>
      <c r="T337" s="2">
        <v>0</v>
      </c>
      <c r="U337" s="2">
        <v>0</v>
      </c>
    </row>
    <row r="338" spans="1:21" x14ac:dyDescent="0.3">
      <c r="A338" s="5" t="s">
        <v>38</v>
      </c>
      <c r="B338" s="5">
        <v>2018</v>
      </c>
      <c r="C338" s="5" t="s">
        <v>39</v>
      </c>
      <c r="D338" s="9">
        <v>157.01806199999999</v>
      </c>
      <c r="E338" s="7">
        <f t="shared" si="5"/>
        <v>138050166.71227813</v>
      </c>
      <c r="F338" s="7">
        <v>24717432.407482099</v>
      </c>
      <c r="G338" s="7">
        <v>0</v>
      </c>
      <c r="H338" s="7">
        <v>38821065.838923499</v>
      </c>
      <c r="I338" s="7">
        <v>63538498.246405602</v>
      </c>
      <c r="J338" s="6">
        <v>0.83791658082157028</v>
      </c>
      <c r="K338" s="7">
        <v>15432.043053535281</v>
      </c>
      <c r="L338" s="7">
        <v>2212318</v>
      </c>
      <c r="M338" s="6">
        <v>31.254360399999999</v>
      </c>
      <c r="N338" s="6">
        <v>36.183256299999996</v>
      </c>
      <c r="O338" s="6">
        <v>59.173620499999998</v>
      </c>
      <c r="P338" s="6">
        <v>42.931781600000001</v>
      </c>
      <c r="Q338" s="6">
        <v>43.6594306</v>
      </c>
      <c r="R338" s="6">
        <v>40.732665699999998</v>
      </c>
      <c r="S338" s="5">
        <v>0</v>
      </c>
      <c r="T338" s="5">
        <v>0</v>
      </c>
      <c r="U338" s="5">
        <v>0</v>
      </c>
    </row>
    <row r="339" spans="1:21" x14ac:dyDescent="0.3">
      <c r="A339" s="2" t="s">
        <v>38</v>
      </c>
      <c r="B339" s="2">
        <v>2019</v>
      </c>
      <c r="C339" s="2" t="s">
        <v>39</v>
      </c>
      <c r="D339" s="8">
        <v>179.98716899999999</v>
      </c>
      <c r="E339" s="4">
        <f t="shared" si="5"/>
        <v>158244588.99843624</v>
      </c>
      <c r="F339" s="4">
        <v>40481355.4047153</v>
      </c>
      <c r="G339" s="4"/>
      <c r="H339" s="4"/>
      <c r="I339" s="4">
        <v>40481355.4047153</v>
      </c>
      <c r="J339" s="3">
        <v>3.920808794528313</v>
      </c>
      <c r="K339" s="4">
        <v>15949.63737396224</v>
      </c>
      <c r="L339" s="4">
        <v>2267706</v>
      </c>
      <c r="M339" s="3">
        <v>31.267904000000001</v>
      </c>
      <c r="N339" s="3">
        <v>36.016829100000002</v>
      </c>
      <c r="O339" s="3">
        <v>61.101781299999999</v>
      </c>
      <c r="P339" s="3">
        <v>41.036427400000001</v>
      </c>
      <c r="Q339" s="3">
        <v>42.062962300000002</v>
      </c>
      <c r="R339" s="3">
        <v>40.774766199999988</v>
      </c>
      <c r="S339" s="2">
        <v>0</v>
      </c>
      <c r="T339" s="2">
        <v>0</v>
      </c>
      <c r="U339" s="2">
        <v>0</v>
      </c>
    </row>
    <row r="340" spans="1:21" x14ac:dyDescent="0.3">
      <c r="A340" s="5" t="s">
        <v>38</v>
      </c>
      <c r="B340" s="5">
        <v>2020</v>
      </c>
      <c r="C340" s="5" t="s">
        <v>39</v>
      </c>
      <c r="D340" s="9">
        <v>81.344065999999998</v>
      </c>
      <c r="E340" s="7">
        <f t="shared" si="5"/>
        <v>71517644.08068262</v>
      </c>
      <c r="F340" s="7">
        <v>56978800.340863928</v>
      </c>
      <c r="G340" s="7"/>
      <c r="H340" s="7"/>
      <c r="I340" s="7">
        <v>56978800.340863928</v>
      </c>
      <c r="J340" s="6">
        <v>-1.8377610635765651</v>
      </c>
      <c r="K340" s="7">
        <v>14477.130829174441</v>
      </c>
      <c r="L340" s="7">
        <v>2322539</v>
      </c>
      <c r="M340" s="6">
        <v>31.572642299999998</v>
      </c>
      <c r="N340" s="6">
        <v>35.523645199999997</v>
      </c>
      <c r="O340" s="6">
        <v>62.144987099999987</v>
      </c>
      <c r="P340" s="6">
        <v>40.675244499999998</v>
      </c>
      <c r="Q340" s="6">
        <v>40.932504799999997</v>
      </c>
      <c r="R340" s="6">
        <v>40.626201600000002</v>
      </c>
      <c r="S340" s="5">
        <v>0</v>
      </c>
      <c r="T340" s="5">
        <v>0</v>
      </c>
      <c r="U340" s="5">
        <v>0</v>
      </c>
    </row>
    <row r="341" spans="1:21" x14ac:dyDescent="0.3">
      <c r="A341" s="2" t="s">
        <v>38</v>
      </c>
      <c r="B341" s="2">
        <v>2021</v>
      </c>
      <c r="C341" s="2" t="s">
        <v>39</v>
      </c>
      <c r="D341" s="8">
        <v>123.463588</v>
      </c>
      <c r="E341" s="4">
        <f t="shared" si="5"/>
        <v>108549097.40445034</v>
      </c>
      <c r="F341" s="4">
        <v>14400000</v>
      </c>
      <c r="G341" s="4"/>
      <c r="H341" s="4">
        <v>11764705.8823529</v>
      </c>
      <c r="I341" s="4">
        <v>26164705.8823529</v>
      </c>
      <c r="J341" s="3">
        <v>1.4679573148748939</v>
      </c>
      <c r="K341" s="4">
        <v>18523.579803219331</v>
      </c>
      <c r="L341" s="4">
        <v>2376722</v>
      </c>
      <c r="M341" s="3">
        <v>30.3392427</v>
      </c>
      <c r="N341" s="3">
        <v>39.894470299999988</v>
      </c>
      <c r="O341" s="3">
        <v>61.076869499999987</v>
      </c>
      <c r="P341" s="3">
        <v>41.733197699999998</v>
      </c>
      <c r="Q341" s="3">
        <v>41.190386599999997</v>
      </c>
      <c r="R341" s="3">
        <v>40.179872400000001</v>
      </c>
      <c r="S341" s="2">
        <v>0</v>
      </c>
      <c r="T341" s="2">
        <v>0</v>
      </c>
      <c r="U341" s="2">
        <v>0</v>
      </c>
    </row>
    <row r="342" spans="1:21" x14ac:dyDescent="0.3">
      <c r="A342" s="2" t="s">
        <v>239</v>
      </c>
      <c r="B342" s="2">
        <v>2002</v>
      </c>
      <c r="C342" s="2" t="s">
        <v>41</v>
      </c>
      <c r="D342" s="8">
        <v>78.670434999999998</v>
      </c>
      <c r="E342" s="4">
        <f t="shared" si="5"/>
        <v>69166989.63637343</v>
      </c>
      <c r="F342" s="4"/>
      <c r="G342" s="4"/>
      <c r="H342" s="4"/>
      <c r="I342" s="4"/>
      <c r="J342" s="3">
        <v>-3.250000149702061</v>
      </c>
      <c r="K342" s="4">
        <v>1743.694325119289</v>
      </c>
      <c r="L342" s="4">
        <v>1535691</v>
      </c>
      <c r="M342" s="3">
        <v>42.893884399999997</v>
      </c>
      <c r="N342" s="3">
        <v>39.867660899999997</v>
      </c>
      <c r="O342" s="3">
        <v>74.054582999999994</v>
      </c>
      <c r="P342" s="3">
        <v>47.730013900000003</v>
      </c>
      <c r="Q342" s="3">
        <v>54.6753736</v>
      </c>
      <c r="R342" s="3">
        <v>43.723186499999997</v>
      </c>
      <c r="S342" s="2">
        <v>0</v>
      </c>
      <c r="T342" s="2">
        <v>0</v>
      </c>
      <c r="U342" s="2">
        <v>0</v>
      </c>
    </row>
    <row r="343" spans="1:21" x14ac:dyDescent="0.3">
      <c r="A343" s="5" t="s">
        <v>239</v>
      </c>
      <c r="B343" s="5">
        <v>2003</v>
      </c>
      <c r="C343" s="5" t="s">
        <v>41</v>
      </c>
      <c r="D343" s="9">
        <v>77.211584000000002</v>
      </c>
      <c r="E343" s="7">
        <f t="shared" si="5"/>
        <v>67884368.890752628</v>
      </c>
      <c r="F343" s="7"/>
      <c r="G343" s="7"/>
      <c r="H343" s="7"/>
      <c r="I343" s="7"/>
      <c r="J343" s="6">
        <v>6.8699996217384154</v>
      </c>
      <c r="K343" s="7">
        <v>1849.7833700541819</v>
      </c>
      <c r="L343" s="7">
        <v>1577611</v>
      </c>
      <c r="M343" s="6">
        <v>44.668860500000001</v>
      </c>
      <c r="N343" s="6">
        <v>39.7650334</v>
      </c>
      <c r="O343" s="6">
        <v>66.195509399999992</v>
      </c>
      <c r="P343" s="6">
        <v>51.967829299999998</v>
      </c>
      <c r="Q343" s="6">
        <v>58.028166599999999</v>
      </c>
      <c r="R343" s="6">
        <v>47.054143000000003</v>
      </c>
      <c r="S343" s="5">
        <v>0</v>
      </c>
      <c r="T343" s="5">
        <v>0</v>
      </c>
      <c r="U343" s="5">
        <v>0</v>
      </c>
    </row>
    <row r="344" spans="1:21" x14ac:dyDescent="0.3">
      <c r="A344" s="2" t="s">
        <v>239</v>
      </c>
      <c r="B344" s="2">
        <v>2004</v>
      </c>
      <c r="C344" s="2" t="s">
        <v>41</v>
      </c>
      <c r="D344" s="8">
        <v>71.140293999999997</v>
      </c>
      <c r="E344" s="4">
        <f t="shared" si="5"/>
        <v>62546495.107425794</v>
      </c>
      <c r="F344" s="4"/>
      <c r="G344" s="4"/>
      <c r="H344" s="4"/>
      <c r="I344" s="4"/>
      <c r="J344" s="3">
        <v>7.0500000006463486</v>
      </c>
      <c r="K344" s="4">
        <v>1978.6326268998421</v>
      </c>
      <c r="L344" s="4">
        <v>1621312</v>
      </c>
      <c r="M344" s="3">
        <v>39.834862299999998</v>
      </c>
      <c r="N344" s="3">
        <v>38.284278</v>
      </c>
      <c r="O344" s="3">
        <v>64.2704114</v>
      </c>
      <c r="P344" s="3">
        <v>44.903819499999997</v>
      </c>
      <c r="Q344" s="3">
        <v>44.818292700000001</v>
      </c>
      <c r="R344" s="3">
        <v>44.506587400000001</v>
      </c>
      <c r="S344" s="2">
        <v>0</v>
      </c>
      <c r="T344" s="2">
        <v>0</v>
      </c>
      <c r="U344" s="2">
        <v>0</v>
      </c>
    </row>
    <row r="345" spans="1:21" x14ac:dyDescent="0.3">
      <c r="A345" s="5" t="s">
        <v>239</v>
      </c>
      <c r="B345" s="5">
        <v>2005</v>
      </c>
      <c r="C345" s="5" t="s">
        <v>41</v>
      </c>
      <c r="D345" s="9">
        <v>72.036744999999996</v>
      </c>
      <c r="E345" s="7">
        <f t="shared" si="5"/>
        <v>63334654.179210722</v>
      </c>
      <c r="F345" s="7"/>
      <c r="G345" s="7"/>
      <c r="H345" s="7"/>
      <c r="I345" s="7"/>
      <c r="J345" s="6">
        <v>-2.3517293617601922</v>
      </c>
      <c r="K345" s="7">
        <v>1938.023627421936</v>
      </c>
      <c r="L345" s="7">
        <v>1667037</v>
      </c>
      <c r="M345" s="6">
        <v>35.035189600000002</v>
      </c>
      <c r="N345" s="6">
        <v>36.029457999999998</v>
      </c>
      <c r="O345" s="6">
        <v>65.109966900000003</v>
      </c>
      <c r="P345" s="6">
        <v>44.839983099999998</v>
      </c>
      <c r="Q345" s="6">
        <v>48.451100399999987</v>
      </c>
      <c r="R345" s="6">
        <v>39.407856799999998</v>
      </c>
      <c r="S345" s="5">
        <v>0</v>
      </c>
      <c r="T345" s="5">
        <v>0</v>
      </c>
      <c r="U345" s="5">
        <v>0</v>
      </c>
    </row>
    <row r="346" spans="1:21" x14ac:dyDescent="0.3">
      <c r="A346" s="2" t="s">
        <v>239</v>
      </c>
      <c r="B346" s="2">
        <v>2006</v>
      </c>
      <c r="C346" s="2" t="s">
        <v>41</v>
      </c>
      <c r="D346" s="8">
        <v>68.403497000000002</v>
      </c>
      <c r="E346" s="4">
        <f t="shared" si="5"/>
        <v>60140305.161534965</v>
      </c>
      <c r="F346" s="4"/>
      <c r="G346" s="4"/>
      <c r="H346" s="4"/>
      <c r="I346" s="4"/>
      <c r="J346" s="3">
        <v>-0.555580977246521</v>
      </c>
      <c r="K346" s="4">
        <v>1930.818885376739</v>
      </c>
      <c r="L346" s="4">
        <v>1715275</v>
      </c>
      <c r="M346" s="3">
        <v>35.386859999999999</v>
      </c>
      <c r="N346" s="3">
        <v>33.4761782</v>
      </c>
      <c r="O346" s="3">
        <v>63.385478599999999</v>
      </c>
      <c r="P346" s="3">
        <v>47.0905396</v>
      </c>
      <c r="Q346" s="3">
        <v>49.738920499999999</v>
      </c>
      <c r="R346" s="3">
        <v>39.665647499999999</v>
      </c>
      <c r="S346" s="2">
        <v>0</v>
      </c>
      <c r="T346" s="2">
        <v>0</v>
      </c>
      <c r="U346" s="2">
        <v>0</v>
      </c>
    </row>
    <row r="347" spans="1:21" x14ac:dyDescent="0.3">
      <c r="A347" s="5" t="s">
        <v>239</v>
      </c>
      <c r="B347" s="5">
        <v>2007</v>
      </c>
      <c r="C347" s="5" t="s">
        <v>41</v>
      </c>
      <c r="D347" s="9">
        <v>334.08230800000001</v>
      </c>
      <c r="E347" s="7">
        <f t="shared" si="5"/>
        <v>293724923.92004335</v>
      </c>
      <c r="F347" s="7"/>
      <c r="G347" s="7"/>
      <c r="H347" s="7"/>
      <c r="I347" s="7"/>
      <c r="J347" s="6">
        <v>3.0432495082973929</v>
      </c>
      <c r="K347" s="7">
        <v>1985.0402524249971</v>
      </c>
      <c r="L347" s="7">
        <v>1765774</v>
      </c>
      <c r="M347" s="6">
        <v>34.9288284</v>
      </c>
      <c r="N347" s="6">
        <v>36.216631999999997</v>
      </c>
      <c r="O347" s="6">
        <v>65.545928599999996</v>
      </c>
      <c r="P347" s="6">
        <v>47.824530499999987</v>
      </c>
      <c r="Q347" s="6">
        <v>50.821084799999987</v>
      </c>
      <c r="R347" s="6">
        <v>39.817427299999999</v>
      </c>
      <c r="S347" s="5">
        <v>0</v>
      </c>
      <c r="T347" s="5">
        <v>0</v>
      </c>
      <c r="U347" s="5">
        <v>0</v>
      </c>
    </row>
    <row r="348" spans="1:21" x14ac:dyDescent="0.3">
      <c r="A348" s="2" t="s">
        <v>239</v>
      </c>
      <c r="B348" s="2">
        <v>2008</v>
      </c>
      <c r="C348" s="2" t="s">
        <v>41</v>
      </c>
      <c r="D348" s="8">
        <v>97.600117999999995</v>
      </c>
      <c r="E348" s="4">
        <f t="shared" si="5"/>
        <v>85809953.25899525</v>
      </c>
      <c r="F348" s="4"/>
      <c r="G348" s="4"/>
      <c r="H348" s="4"/>
      <c r="I348" s="4"/>
      <c r="J348" s="3">
        <v>6.2559055339428653</v>
      </c>
      <c r="K348" s="4">
        <v>2088.2716612903341</v>
      </c>
      <c r="L348" s="4">
        <v>1817852</v>
      </c>
      <c r="M348" s="3">
        <v>33.852391699999998</v>
      </c>
      <c r="N348" s="3">
        <v>36.375610199999997</v>
      </c>
      <c r="O348" s="3">
        <v>65.689139099999991</v>
      </c>
      <c r="P348" s="3">
        <v>47.273984899999988</v>
      </c>
      <c r="Q348" s="3">
        <v>48.042846999999988</v>
      </c>
      <c r="R348" s="3">
        <v>39.107164099999999</v>
      </c>
      <c r="S348" s="2">
        <v>0</v>
      </c>
      <c r="T348" s="2">
        <v>0</v>
      </c>
      <c r="U348" s="2">
        <v>0</v>
      </c>
    </row>
    <row r="349" spans="1:21" x14ac:dyDescent="0.3">
      <c r="A349" s="5" t="s">
        <v>239</v>
      </c>
      <c r="B349" s="5">
        <v>2009</v>
      </c>
      <c r="C349" s="5" t="s">
        <v>41</v>
      </c>
      <c r="D349" s="9">
        <v>126.941078</v>
      </c>
      <c r="E349" s="7">
        <f t="shared" si="5"/>
        <v>111606504.10101421</v>
      </c>
      <c r="F349" s="7"/>
      <c r="G349" s="7"/>
      <c r="H349" s="7"/>
      <c r="I349" s="7"/>
      <c r="J349" s="6">
        <v>6.6657243078366966</v>
      </c>
      <c r="K349" s="7">
        <v>2177.0534469560662</v>
      </c>
      <c r="L349" s="7">
        <v>1871422</v>
      </c>
      <c r="M349" s="6">
        <v>33.535775699999988</v>
      </c>
      <c r="N349" s="6">
        <v>38.697519799999988</v>
      </c>
      <c r="O349" s="6">
        <v>68.4811215</v>
      </c>
      <c r="P349" s="6">
        <v>47.289831999999997</v>
      </c>
      <c r="Q349" s="6">
        <v>46.058879699999999</v>
      </c>
      <c r="R349" s="6">
        <v>38.422174400000003</v>
      </c>
      <c r="S349" s="5">
        <v>0</v>
      </c>
      <c r="T349" s="5">
        <v>0</v>
      </c>
      <c r="U349" s="5">
        <v>0</v>
      </c>
    </row>
    <row r="350" spans="1:21" x14ac:dyDescent="0.3">
      <c r="A350" s="2" t="s">
        <v>239</v>
      </c>
      <c r="B350" s="2">
        <v>2010</v>
      </c>
      <c r="C350" s="2" t="s">
        <v>41</v>
      </c>
      <c r="D350" s="8">
        <v>117.067001</v>
      </c>
      <c r="E350" s="4">
        <f t="shared" si="5"/>
        <v>102925222.73365234</v>
      </c>
      <c r="F350" s="4"/>
      <c r="G350" s="4"/>
      <c r="H350" s="4"/>
      <c r="I350" s="4"/>
      <c r="J350" s="3">
        <v>5.9083358096828817</v>
      </c>
      <c r="K350" s="4">
        <v>2266.828982384417</v>
      </c>
      <c r="L350" s="4">
        <v>1926630</v>
      </c>
      <c r="M350" s="3">
        <v>33.7518824</v>
      </c>
      <c r="N350" s="3">
        <v>38.916391399999988</v>
      </c>
      <c r="O350" s="3">
        <v>67.151115699999991</v>
      </c>
      <c r="P350" s="3">
        <v>46.358766199999998</v>
      </c>
      <c r="Q350" s="3">
        <v>45.458331200000003</v>
      </c>
      <c r="R350" s="3">
        <v>37.903712200000001</v>
      </c>
      <c r="S350" s="2">
        <v>0</v>
      </c>
      <c r="T350" s="2">
        <v>0</v>
      </c>
      <c r="U350" s="2">
        <v>0</v>
      </c>
    </row>
    <row r="351" spans="1:21" x14ac:dyDescent="0.3">
      <c r="A351" s="5" t="s">
        <v>239</v>
      </c>
      <c r="B351" s="5">
        <v>2011</v>
      </c>
      <c r="C351" s="5" t="s">
        <v>41</v>
      </c>
      <c r="D351" s="9">
        <v>130.07809599999999</v>
      </c>
      <c r="E351" s="7">
        <f t="shared" si="5"/>
        <v>114364568.06106624</v>
      </c>
      <c r="F351" s="7"/>
      <c r="G351" s="7"/>
      <c r="H351" s="7"/>
      <c r="I351" s="7"/>
      <c r="J351" s="6">
        <v>-8.1304442231565872</v>
      </c>
      <c r="K351" s="7">
        <v>2064.253852883</v>
      </c>
      <c r="L351" s="7">
        <v>1983784</v>
      </c>
      <c r="M351" s="6">
        <v>34.584080700000001</v>
      </c>
      <c r="N351" s="6">
        <v>39.152095699999997</v>
      </c>
      <c r="O351" s="6">
        <v>65.596397899999999</v>
      </c>
      <c r="P351" s="6">
        <v>46.904340599999998</v>
      </c>
      <c r="Q351" s="6">
        <v>45.048618300000001</v>
      </c>
      <c r="R351" s="6">
        <v>35.877265299999998</v>
      </c>
      <c r="S351" s="5">
        <v>0</v>
      </c>
      <c r="T351" s="5">
        <v>0</v>
      </c>
      <c r="U351" s="5">
        <v>0</v>
      </c>
    </row>
    <row r="352" spans="1:21" x14ac:dyDescent="0.3">
      <c r="A352" s="2" t="s">
        <v>239</v>
      </c>
      <c r="B352" s="2">
        <v>2012</v>
      </c>
      <c r="C352" s="2" t="s">
        <v>41</v>
      </c>
      <c r="D352" s="8">
        <v>158.054056</v>
      </c>
      <c r="E352" s="4">
        <f t="shared" si="5"/>
        <v>138961011.88888541</v>
      </c>
      <c r="F352" s="4"/>
      <c r="G352" s="4"/>
      <c r="H352" s="4"/>
      <c r="I352" s="4"/>
      <c r="J352" s="3">
        <v>5.2415692463074066</v>
      </c>
      <c r="K352" s="4">
        <v>2064.814381216122</v>
      </c>
      <c r="L352" s="4">
        <v>2043094</v>
      </c>
      <c r="M352" s="3">
        <v>32.265925000000003</v>
      </c>
      <c r="N352" s="3">
        <v>40.125822999999997</v>
      </c>
      <c r="O352" s="3">
        <v>62.112332199999997</v>
      </c>
      <c r="P352" s="3">
        <v>47.823516400000003</v>
      </c>
      <c r="Q352" s="3">
        <v>44.345180800000001</v>
      </c>
      <c r="R352" s="3">
        <v>35.202136500000002</v>
      </c>
      <c r="S352" s="2">
        <v>0</v>
      </c>
      <c r="T352" s="2">
        <v>0</v>
      </c>
      <c r="U352" s="2">
        <v>0</v>
      </c>
    </row>
    <row r="353" spans="1:21" x14ac:dyDescent="0.3">
      <c r="A353" s="5" t="s">
        <v>239</v>
      </c>
      <c r="B353" s="5">
        <v>2013</v>
      </c>
      <c r="C353" s="5" t="s">
        <v>41</v>
      </c>
      <c r="D353" s="9">
        <v>126.46709799999999</v>
      </c>
      <c r="E353" s="7">
        <f t="shared" si="5"/>
        <v>111189781.22732158</v>
      </c>
      <c r="F353" s="7"/>
      <c r="G353" s="7"/>
      <c r="H353" s="7"/>
      <c r="I353" s="7"/>
      <c r="J353" s="6">
        <v>2.8727687903270009</v>
      </c>
      <c r="K353" s="7">
        <v>2006.7408164678779</v>
      </c>
      <c r="L353" s="7">
        <v>2103820</v>
      </c>
      <c r="M353" s="6">
        <v>30.214860399999999</v>
      </c>
      <c r="N353" s="6">
        <v>39.482165700000003</v>
      </c>
      <c r="O353" s="6">
        <v>61.760080599999988</v>
      </c>
      <c r="P353" s="6">
        <v>44.931685999999999</v>
      </c>
      <c r="Q353" s="6">
        <v>43.135681400000003</v>
      </c>
      <c r="R353" s="6">
        <v>35.503597599999999</v>
      </c>
      <c r="S353" s="5">
        <v>0</v>
      </c>
      <c r="T353" s="5">
        <v>0</v>
      </c>
      <c r="U353" s="5">
        <v>0</v>
      </c>
    </row>
    <row r="354" spans="1:21" x14ac:dyDescent="0.3">
      <c r="A354" s="2" t="s">
        <v>239</v>
      </c>
      <c r="B354" s="2">
        <v>2014</v>
      </c>
      <c r="C354" s="2" t="s">
        <v>41</v>
      </c>
      <c r="D354" s="8">
        <v>117.040935</v>
      </c>
      <c r="E354" s="4">
        <f t="shared" si="5"/>
        <v>102902305.52527714</v>
      </c>
      <c r="F354" s="4"/>
      <c r="G354" s="4"/>
      <c r="H354" s="4"/>
      <c r="I354" s="4"/>
      <c r="J354" s="3">
        <v>-1.4073824951095451</v>
      </c>
      <c r="K354" s="4">
        <v>1933.703297184461</v>
      </c>
      <c r="L354" s="4">
        <v>2164528</v>
      </c>
      <c r="M354" s="3">
        <v>29.8065259</v>
      </c>
      <c r="N354" s="3">
        <v>40.8210829</v>
      </c>
      <c r="O354" s="3">
        <v>59.909791400000003</v>
      </c>
      <c r="P354" s="3">
        <v>45.126690199999999</v>
      </c>
      <c r="Q354" s="3">
        <v>41.572565699999998</v>
      </c>
      <c r="R354" s="3">
        <v>35.681191900000002</v>
      </c>
      <c r="S354" s="2">
        <v>0</v>
      </c>
      <c r="T354" s="2">
        <v>0</v>
      </c>
      <c r="U354" s="2">
        <v>0</v>
      </c>
    </row>
    <row r="355" spans="1:21" x14ac:dyDescent="0.3">
      <c r="A355" s="5" t="s">
        <v>239</v>
      </c>
      <c r="B355" s="5">
        <v>2015</v>
      </c>
      <c r="C355" s="5" t="s">
        <v>41</v>
      </c>
      <c r="D355" s="9">
        <v>158.400036</v>
      </c>
      <c r="E355" s="7">
        <f t="shared" si="5"/>
        <v>139265197.25501937</v>
      </c>
      <c r="F355" s="7"/>
      <c r="G355" s="7"/>
      <c r="H355" s="7"/>
      <c r="I355" s="7"/>
      <c r="J355" s="6">
        <v>4.0580738039996049</v>
      </c>
      <c r="K355" s="7">
        <v>1990.3162575097249</v>
      </c>
      <c r="L355" s="7">
        <v>2224529</v>
      </c>
      <c r="M355" s="6">
        <v>29.169022900000002</v>
      </c>
      <c r="N355" s="6">
        <v>39.021363800000003</v>
      </c>
      <c r="O355" s="6">
        <v>62.298689099999997</v>
      </c>
      <c r="P355" s="6">
        <v>43.936853199999987</v>
      </c>
      <c r="Q355" s="6">
        <v>41.232089799999997</v>
      </c>
      <c r="R355" s="6">
        <v>33.928291399999999</v>
      </c>
      <c r="S355" s="5">
        <v>0</v>
      </c>
      <c r="T355" s="5">
        <v>0</v>
      </c>
      <c r="U355" s="5">
        <v>0</v>
      </c>
    </row>
    <row r="356" spans="1:21" x14ac:dyDescent="0.3">
      <c r="A356" s="2" t="s">
        <v>239</v>
      </c>
      <c r="B356" s="2">
        <v>2016</v>
      </c>
      <c r="C356" s="2" t="s">
        <v>41</v>
      </c>
      <c r="D356" s="8">
        <v>131.304281</v>
      </c>
      <c r="E356" s="4">
        <f t="shared" si="5"/>
        <v>115442629.02751796</v>
      </c>
      <c r="F356" s="4">
        <v>53308920.5134231</v>
      </c>
      <c r="G356" s="4"/>
      <c r="H356" s="4"/>
      <c r="I356" s="4">
        <v>53308920.5134231</v>
      </c>
      <c r="J356" s="3">
        <v>1.9433596547877561</v>
      </c>
      <c r="K356" s="4">
        <v>2012.6764818025119</v>
      </c>
      <c r="L356" s="4">
        <v>2283769</v>
      </c>
      <c r="M356" s="3">
        <v>29.359420799999999</v>
      </c>
      <c r="N356" s="3">
        <v>39.458813399999997</v>
      </c>
      <c r="O356" s="3">
        <v>58.271319200000001</v>
      </c>
      <c r="P356" s="3">
        <v>44.817901499999998</v>
      </c>
      <c r="Q356" s="3">
        <v>40.356586499999999</v>
      </c>
      <c r="R356" s="3">
        <v>35.745168700000001</v>
      </c>
      <c r="S356" s="2">
        <v>0</v>
      </c>
      <c r="T356" s="2">
        <v>0</v>
      </c>
      <c r="U356" s="2">
        <v>0</v>
      </c>
    </row>
    <row r="357" spans="1:21" x14ac:dyDescent="0.3">
      <c r="A357" s="5" t="s">
        <v>239</v>
      </c>
      <c r="B357" s="5">
        <v>2017</v>
      </c>
      <c r="C357" s="5" t="s">
        <v>41</v>
      </c>
      <c r="D357" s="9">
        <v>364.57372099999998</v>
      </c>
      <c r="E357" s="7">
        <f t="shared" si="5"/>
        <v>320532952.20880753</v>
      </c>
      <c r="F357" s="7">
        <v>144024541.6540353</v>
      </c>
      <c r="G357" s="7">
        <v>0</v>
      </c>
      <c r="H357" s="7"/>
      <c r="I357" s="7">
        <v>144024541.6540353</v>
      </c>
      <c r="J357" s="6">
        <v>4.8226112492756954</v>
      </c>
      <c r="K357" s="7">
        <v>2038.9542985012849</v>
      </c>
      <c r="L357" s="7">
        <v>2342189</v>
      </c>
      <c r="M357" s="6">
        <v>37.669366199999999</v>
      </c>
      <c r="N357" s="6">
        <v>41.189249500000003</v>
      </c>
      <c r="O357" s="6">
        <v>62.530108899999988</v>
      </c>
      <c r="P357" s="6">
        <v>46.029857900000003</v>
      </c>
      <c r="Q357" s="6">
        <v>47.299447899999997</v>
      </c>
      <c r="R357" s="6">
        <v>45.392190599999999</v>
      </c>
      <c r="S357" s="5">
        <v>0</v>
      </c>
      <c r="T357" s="5">
        <v>0</v>
      </c>
      <c r="U357" s="5">
        <v>0</v>
      </c>
    </row>
    <row r="358" spans="1:21" x14ac:dyDescent="0.3">
      <c r="A358" s="2" t="s">
        <v>239</v>
      </c>
      <c r="B358" s="2">
        <v>2018</v>
      </c>
      <c r="C358" s="2" t="s">
        <v>41</v>
      </c>
      <c r="D358" s="8">
        <v>291.88007900000002</v>
      </c>
      <c r="E358" s="4">
        <f t="shared" si="5"/>
        <v>256620754.66160649</v>
      </c>
      <c r="F358" s="4">
        <v>1516714.914724424</v>
      </c>
      <c r="G358" s="4"/>
      <c r="H358" s="4"/>
      <c r="I358" s="4">
        <v>1516714.914724424</v>
      </c>
      <c r="J358" s="3">
        <v>7.2348903325857918</v>
      </c>
      <c r="K358" s="4">
        <v>2277.442362241909</v>
      </c>
      <c r="L358" s="4">
        <v>2399632</v>
      </c>
      <c r="M358" s="3">
        <v>39.395040000000002</v>
      </c>
      <c r="N358" s="3">
        <v>41.572957799999998</v>
      </c>
      <c r="O358" s="3">
        <v>63.9221602</v>
      </c>
      <c r="P358" s="3">
        <v>43.636680499999997</v>
      </c>
      <c r="Q358" s="3">
        <v>49.0647515</v>
      </c>
      <c r="R358" s="3">
        <v>51.749539200000001</v>
      </c>
      <c r="S358" s="2">
        <v>0</v>
      </c>
      <c r="T358" s="2">
        <v>0</v>
      </c>
      <c r="U358" s="2">
        <v>0</v>
      </c>
    </row>
    <row r="359" spans="1:21" x14ac:dyDescent="0.3">
      <c r="A359" s="5" t="s">
        <v>239</v>
      </c>
      <c r="B359" s="5">
        <v>2019</v>
      </c>
      <c r="C359" s="5" t="s">
        <v>41</v>
      </c>
      <c r="D359" s="9">
        <v>266.85552000000001</v>
      </c>
      <c r="E359" s="7">
        <f t="shared" si="5"/>
        <v>234619180.46149158</v>
      </c>
      <c r="F359" s="7">
        <v>5100767.4157792609</v>
      </c>
      <c r="G359" s="7">
        <v>0</v>
      </c>
      <c r="H359" s="7"/>
      <c r="I359" s="7">
        <v>5100767.4157792609</v>
      </c>
      <c r="J359" s="6">
        <v>6.2220531599485867</v>
      </c>
      <c r="K359" s="7">
        <v>2421.723180706148</v>
      </c>
      <c r="L359" s="7">
        <v>2456844</v>
      </c>
      <c r="M359" s="6">
        <v>40.9389611</v>
      </c>
      <c r="N359" s="6">
        <v>40.915526300000003</v>
      </c>
      <c r="O359" s="6">
        <v>67.053904299999999</v>
      </c>
      <c r="P359" s="6">
        <v>43.873972500000001</v>
      </c>
      <c r="Q359" s="6">
        <v>49.339393000000001</v>
      </c>
      <c r="R359" s="6">
        <v>51.006933099999998</v>
      </c>
      <c r="S359" s="5">
        <v>0</v>
      </c>
      <c r="T359" s="5">
        <v>0</v>
      </c>
      <c r="U359" s="5">
        <v>0</v>
      </c>
    </row>
    <row r="360" spans="1:21" x14ac:dyDescent="0.3">
      <c r="A360" s="2" t="s">
        <v>239</v>
      </c>
      <c r="B360" s="2">
        <v>2020</v>
      </c>
      <c r="C360" s="2" t="s">
        <v>41</v>
      </c>
      <c r="D360" s="8">
        <v>363.558581</v>
      </c>
      <c r="E360" s="4">
        <f t="shared" si="5"/>
        <v>319640441.85393953</v>
      </c>
      <c r="F360" s="4">
        <v>327343.85007120413</v>
      </c>
      <c r="G360" s="4">
        <v>0</v>
      </c>
      <c r="H360" s="4"/>
      <c r="I360" s="4">
        <v>327343.85007120413</v>
      </c>
      <c r="J360" s="3">
        <v>0.59148728787397431</v>
      </c>
      <c r="K360" s="4">
        <v>2530.804149373073</v>
      </c>
      <c r="L360" s="4">
        <v>2515733</v>
      </c>
      <c r="M360" s="3">
        <v>43.344673499999999</v>
      </c>
      <c r="N360" s="3">
        <v>39.918641200000003</v>
      </c>
      <c r="O360" s="3">
        <v>68.224113500000001</v>
      </c>
      <c r="P360" s="3">
        <v>43.758607699999999</v>
      </c>
      <c r="Q360" s="3">
        <v>51.1676292</v>
      </c>
      <c r="R360" s="3">
        <v>52.323633100000002</v>
      </c>
      <c r="S360" s="2">
        <v>0</v>
      </c>
      <c r="T360" s="2">
        <v>0</v>
      </c>
      <c r="U360" s="2">
        <v>0</v>
      </c>
    </row>
    <row r="361" spans="1:21" x14ac:dyDescent="0.3">
      <c r="A361" s="5" t="s">
        <v>239</v>
      </c>
      <c r="B361" s="5">
        <v>2021</v>
      </c>
      <c r="C361" s="5" t="s">
        <v>41</v>
      </c>
      <c r="D361" s="9">
        <v>277.75714299999999</v>
      </c>
      <c r="E361" s="7">
        <f t="shared" si="5"/>
        <v>244203879.52996182</v>
      </c>
      <c r="F361" s="7">
        <v>9424322.0971098244</v>
      </c>
      <c r="G361" s="7"/>
      <c r="H361" s="7"/>
      <c r="I361" s="7">
        <v>9424322.0971098244</v>
      </c>
      <c r="J361" s="6">
        <v>5.2559687881674364</v>
      </c>
      <c r="K361" s="7">
        <v>2777.7962097832401</v>
      </c>
      <c r="L361" s="7">
        <v>2576010</v>
      </c>
      <c r="M361" s="6">
        <v>41.500198099999999</v>
      </c>
      <c r="N361" s="6">
        <v>41.361999900000001</v>
      </c>
      <c r="O361" s="6">
        <v>66.29061639999999</v>
      </c>
      <c r="P361" s="6">
        <v>42.962695099999998</v>
      </c>
      <c r="Q361" s="6">
        <v>50.559766099999997</v>
      </c>
      <c r="R361" s="6">
        <v>53.325393299999988</v>
      </c>
      <c r="S361" s="5">
        <v>0</v>
      </c>
      <c r="T361" s="5">
        <v>0</v>
      </c>
      <c r="U361" s="5">
        <v>0</v>
      </c>
    </row>
    <row r="362" spans="1:21" x14ac:dyDescent="0.3">
      <c r="A362" s="5" t="s">
        <v>42</v>
      </c>
      <c r="B362" s="5">
        <v>2002</v>
      </c>
      <c r="C362" s="5" t="s">
        <v>43</v>
      </c>
      <c r="D362" s="9">
        <v>1114.8885290000001</v>
      </c>
      <c r="E362" s="7">
        <f t="shared" si="5"/>
        <v>980209189.5265944</v>
      </c>
      <c r="F362" s="7">
        <v>140469365.49260491</v>
      </c>
      <c r="G362" s="7"/>
      <c r="H362" s="7"/>
      <c r="I362" s="7">
        <v>140469365.49260491</v>
      </c>
      <c r="J362" s="6">
        <v>4.4999995590033137</v>
      </c>
      <c r="K362" s="7">
        <v>2475.096353579193</v>
      </c>
      <c r="L362" s="7">
        <v>20729388</v>
      </c>
      <c r="M362" s="6">
        <v>41.780681000000001</v>
      </c>
      <c r="N362" s="6">
        <v>46.984304399999999</v>
      </c>
      <c r="O362" s="6">
        <v>61.763479799999999</v>
      </c>
      <c r="P362" s="6">
        <v>43.191834900000003</v>
      </c>
      <c r="Q362" s="6">
        <v>55.804752000000001</v>
      </c>
      <c r="R362" s="6">
        <v>54.547628799999998</v>
      </c>
      <c r="S362" s="5">
        <v>0</v>
      </c>
      <c r="T362" s="5">
        <v>0</v>
      </c>
      <c r="U362" s="5">
        <v>0</v>
      </c>
    </row>
    <row r="363" spans="1:21" x14ac:dyDescent="0.3">
      <c r="A363" s="2" t="s">
        <v>42</v>
      </c>
      <c r="B363" s="2">
        <v>2003</v>
      </c>
      <c r="C363" s="2" t="s">
        <v>43</v>
      </c>
      <c r="D363" s="8">
        <v>1413.956142</v>
      </c>
      <c r="E363" s="4">
        <f t="shared" si="5"/>
        <v>1243149218.8901784</v>
      </c>
      <c r="F363" s="4">
        <v>73578433.483953252</v>
      </c>
      <c r="G363" s="4">
        <v>31392228.203583401</v>
      </c>
      <c r="H363" s="4"/>
      <c r="I363" s="4">
        <v>104970661.6875367</v>
      </c>
      <c r="J363" s="3">
        <v>5.2000001331009997</v>
      </c>
      <c r="K363" s="4">
        <v>2584.4772372915131</v>
      </c>
      <c r="L363" s="4">
        <v>21296705</v>
      </c>
      <c r="M363" s="3">
        <v>41.3893737</v>
      </c>
      <c r="N363" s="3">
        <v>42.806122899999998</v>
      </c>
      <c r="O363" s="3">
        <v>62.195974</v>
      </c>
      <c r="P363" s="3">
        <v>43.877842800000003</v>
      </c>
      <c r="Q363" s="3">
        <v>54.183996</v>
      </c>
      <c r="R363" s="3">
        <v>56.3513041</v>
      </c>
      <c r="S363" s="2">
        <v>0</v>
      </c>
      <c r="T363" s="2">
        <v>0</v>
      </c>
      <c r="U363" s="2">
        <v>0</v>
      </c>
    </row>
    <row r="364" spans="1:21" x14ac:dyDescent="0.3">
      <c r="A364" s="5" t="s">
        <v>42</v>
      </c>
      <c r="B364" s="5">
        <v>2004</v>
      </c>
      <c r="C364" s="5" t="s">
        <v>43</v>
      </c>
      <c r="D364" s="9">
        <v>2484.384231</v>
      </c>
      <c r="E364" s="7">
        <f t="shared" si="5"/>
        <v>2184268821.6780109</v>
      </c>
      <c r="F364" s="7">
        <v>157157.99641017709</v>
      </c>
      <c r="G364" s="7"/>
      <c r="H364" s="7"/>
      <c r="I364" s="7">
        <v>157157.99641017709</v>
      </c>
      <c r="J364" s="6">
        <v>5.5999999907744504</v>
      </c>
      <c r="K364" s="7">
        <v>2729.3445024491061</v>
      </c>
      <c r="L364" s="7">
        <v>21868298</v>
      </c>
      <c r="M364" s="6">
        <v>40.991647800000003</v>
      </c>
      <c r="N364" s="6">
        <v>43.635256699999999</v>
      </c>
      <c r="O364" s="6">
        <v>63.8830417</v>
      </c>
      <c r="P364" s="6">
        <v>47.076312199999997</v>
      </c>
      <c r="Q364" s="6">
        <v>53.709023599999988</v>
      </c>
      <c r="R364" s="6">
        <v>59.955439400000003</v>
      </c>
      <c r="S364" s="5">
        <v>0</v>
      </c>
      <c r="T364" s="5">
        <v>0</v>
      </c>
      <c r="U364" s="5">
        <v>0</v>
      </c>
    </row>
    <row r="365" spans="1:21" x14ac:dyDescent="0.3">
      <c r="A365" s="2" t="s">
        <v>42</v>
      </c>
      <c r="B365" s="2">
        <v>2005</v>
      </c>
      <c r="C365" s="2" t="s">
        <v>43</v>
      </c>
      <c r="D365" s="8">
        <v>1981.139461</v>
      </c>
      <c r="E365" s="4">
        <f t="shared" si="5"/>
        <v>1741816383.3363504</v>
      </c>
      <c r="F365" s="4">
        <v>3040546.2818508539</v>
      </c>
      <c r="G365" s="4"/>
      <c r="H365" s="4"/>
      <c r="I365" s="4">
        <v>3040546.2818508539</v>
      </c>
      <c r="J365" s="3">
        <v>5.9000038185510419</v>
      </c>
      <c r="K365" s="4">
        <v>2903.834290438811</v>
      </c>
      <c r="L365" s="4">
        <v>22449438</v>
      </c>
      <c r="M365" s="3">
        <v>39.354892999999997</v>
      </c>
      <c r="N365" s="3">
        <v>46.142425000000003</v>
      </c>
      <c r="O365" s="3">
        <v>66.777706699999996</v>
      </c>
      <c r="P365" s="3">
        <v>50.1389943</v>
      </c>
      <c r="Q365" s="3">
        <v>56.079262699999987</v>
      </c>
      <c r="R365" s="3">
        <v>62.074136699999997</v>
      </c>
      <c r="S365" s="2">
        <v>0</v>
      </c>
      <c r="T365" s="2">
        <v>0</v>
      </c>
      <c r="U365" s="2">
        <v>0</v>
      </c>
    </row>
    <row r="366" spans="1:21" x14ac:dyDescent="0.3">
      <c r="A366" s="5" t="s">
        <v>42</v>
      </c>
      <c r="B366" s="5">
        <v>2006</v>
      </c>
      <c r="C366" s="5" t="s">
        <v>43</v>
      </c>
      <c r="D366" s="9">
        <v>7290.9083989999999</v>
      </c>
      <c r="E366" s="7">
        <f t="shared" si="5"/>
        <v>6410161398.9217291</v>
      </c>
      <c r="F366" s="7">
        <v>61468220.020264544</v>
      </c>
      <c r="G366" s="7">
        <v>164587875.90579301</v>
      </c>
      <c r="H366" s="7"/>
      <c r="I366" s="7">
        <v>226056095.92605749</v>
      </c>
      <c r="J366" s="6">
        <v>6.3999126061803366</v>
      </c>
      <c r="K366" s="7">
        <v>3103.2262582037379</v>
      </c>
      <c r="L366" s="7">
        <v>23040702</v>
      </c>
      <c r="M366" s="6">
        <v>45.566325599999999</v>
      </c>
      <c r="N366" s="6">
        <v>52.778639899999988</v>
      </c>
      <c r="O366" s="6">
        <v>64.561753400000001</v>
      </c>
      <c r="P366" s="6">
        <v>53.514461599999997</v>
      </c>
      <c r="Q366" s="6">
        <v>60.615608299999998</v>
      </c>
      <c r="R366" s="6">
        <v>66.287649099999996</v>
      </c>
      <c r="S366" s="5">
        <v>0</v>
      </c>
      <c r="T366" s="5">
        <v>0</v>
      </c>
      <c r="U366" s="5">
        <v>0</v>
      </c>
    </row>
    <row r="367" spans="1:21" x14ac:dyDescent="0.3">
      <c r="A367" s="2" t="s">
        <v>42</v>
      </c>
      <c r="B367" s="2">
        <v>2007</v>
      </c>
      <c r="C367" s="2" t="s">
        <v>43</v>
      </c>
      <c r="D367" s="8">
        <v>1242.3928209999999</v>
      </c>
      <c r="E367" s="4">
        <f t="shared" ref="E367:E430" si="6">(D367*0.879199277802054)*1000000</f>
        <v>1092310870.9696565</v>
      </c>
      <c r="F367" s="4">
        <v>108380489.3674065</v>
      </c>
      <c r="G367" s="4">
        <v>528095003.51717198</v>
      </c>
      <c r="H367" s="4"/>
      <c r="I367" s="4">
        <v>636475492.88457847</v>
      </c>
      <c r="J367" s="3">
        <v>4.3468191044007938</v>
      </c>
      <c r="K367" s="4">
        <v>3241.2208110732408</v>
      </c>
      <c r="L367" s="4">
        <v>23642279</v>
      </c>
      <c r="M367" s="3">
        <v>45.945231</v>
      </c>
      <c r="N367" s="3">
        <v>52.431731399999997</v>
      </c>
      <c r="O367" s="3">
        <v>63.910783899999998</v>
      </c>
      <c r="P367" s="3">
        <v>53.837343599999997</v>
      </c>
      <c r="Q367" s="3">
        <v>60.4000494</v>
      </c>
      <c r="R367" s="3">
        <v>67.223232400000001</v>
      </c>
      <c r="S367" s="2">
        <v>0</v>
      </c>
      <c r="T367" s="2">
        <v>0</v>
      </c>
      <c r="U367" s="2">
        <v>0</v>
      </c>
    </row>
    <row r="368" spans="1:21" x14ac:dyDescent="0.3">
      <c r="A368" s="5" t="s">
        <v>42</v>
      </c>
      <c r="B368" s="5">
        <v>2008</v>
      </c>
      <c r="C368" s="5" t="s">
        <v>43</v>
      </c>
      <c r="D368" s="9">
        <v>1385.4252329999999</v>
      </c>
      <c r="E368" s="7">
        <f t="shared" si="6"/>
        <v>1218064864.3023424</v>
      </c>
      <c r="F368" s="7">
        <v>476736031.53976148</v>
      </c>
      <c r="G368" s="7">
        <v>60773145.405696802</v>
      </c>
      <c r="H368" s="7">
        <v>884259834.73044896</v>
      </c>
      <c r="I368" s="7">
        <v>1421769011.6759069</v>
      </c>
      <c r="J368" s="6">
        <v>9.1497989383181704</v>
      </c>
      <c r="K368" s="7">
        <v>3515.5892352024289</v>
      </c>
      <c r="L368" s="7">
        <v>24249946</v>
      </c>
      <c r="M368" s="6">
        <v>46.120678499999997</v>
      </c>
      <c r="N368" s="6">
        <v>52.675989100000002</v>
      </c>
      <c r="O368" s="6">
        <v>63.405706599999988</v>
      </c>
      <c r="P368" s="6">
        <v>54.407396800000001</v>
      </c>
      <c r="Q368" s="6">
        <v>58.625835799999997</v>
      </c>
      <c r="R368" s="6">
        <v>65.536424799999992</v>
      </c>
      <c r="S368" s="5">
        <v>0</v>
      </c>
      <c r="T368" s="5">
        <v>0</v>
      </c>
      <c r="U368" s="5">
        <v>0</v>
      </c>
    </row>
    <row r="369" spans="1:21" x14ac:dyDescent="0.3">
      <c r="A369" s="2" t="s">
        <v>42</v>
      </c>
      <c r="B369" s="2">
        <v>2009</v>
      </c>
      <c r="C369" s="2" t="s">
        <v>43</v>
      </c>
      <c r="D369" s="8">
        <v>1856.069475</v>
      </c>
      <c r="E369" s="4">
        <f t="shared" si="6"/>
        <v>1631854941.9704375</v>
      </c>
      <c r="F369" s="4">
        <v>11666112.044950221</v>
      </c>
      <c r="G369" s="4">
        <v>109237093.3276138</v>
      </c>
      <c r="H369" s="4"/>
      <c r="I369" s="4">
        <v>120903205.372564</v>
      </c>
      <c r="J369" s="3">
        <v>4.844487051750761</v>
      </c>
      <c r="K369" s="4">
        <v>3617.239444350354</v>
      </c>
      <c r="L369" s="4">
        <v>24862664</v>
      </c>
      <c r="M369" s="3">
        <v>47.505144799999997</v>
      </c>
      <c r="N369" s="3">
        <v>52.875117199999998</v>
      </c>
      <c r="O369" s="3">
        <v>68.227835499999998</v>
      </c>
      <c r="P369" s="3">
        <v>54.950149799999998</v>
      </c>
      <c r="Q369" s="3">
        <v>57.657122800000003</v>
      </c>
      <c r="R369" s="3">
        <v>66.331753599999999</v>
      </c>
      <c r="S369" s="2">
        <v>0</v>
      </c>
      <c r="T369" s="2">
        <v>0</v>
      </c>
      <c r="U369" s="2">
        <v>0</v>
      </c>
    </row>
    <row r="370" spans="1:21" x14ac:dyDescent="0.3">
      <c r="A370" s="5" t="s">
        <v>42</v>
      </c>
      <c r="B370" s="5">
        <v>2010</v>
      </c>
      <c r="C370" s="5" t="s">
        <v>43</v>
      </c>
      <c r="D370" s="9">
        <v>1938.3583960000001</v>
      </c>
      <c r="E370" s="7">
        <f t="shared" si="6"/>
        <v>1704203301.8847477</v>
      </c>
      <c r="F370" s="7">
        <v>69636.346789812</v>
      </c>
      <c r="G370" s="7">
        <v>545484715.5917083</v>
      </c>
      <c r="H370" s="7"/>
      <c r="I370" s="7">
        <v>545554351.93849814</v>
      </c>
      <c r="J370" s="6">
        <v>7.8997119405162124</v>
      </c>
      <c r="K370" s="7">
        <v>3855.4689171675668</v>
      </c>
      <c r="L370" s="7">
        <v>25474995</v>
      </c>
      <c r="M370" s="6">
        <v>49.192837399999988</v>
      </c>
      <c r="N370" s="6">
        <v>52.058227299999999</v>
      </c>
      <c r="O370" s="6">
        <v>64.965171299999994</v>
      </c>
      <c r="P370" s="6">
        <v>54.747264599999987</v>
      </c>
      <c r="Q370" s="6">
        <v>57.296118</v>
      </c>
      <c r="R370" s="6">
        <v>66.258547699999994</v>
      </c>
      <c r="S370" s="5">
        <v>0</v>
      </c>
      <c r="T370" s="5">
        <v>0</v>
      </c>
      <c r="U370" s="5">
        <v>0</v>
      </c>
    </row>
    <row r="371" spans="1:21" x14ac:dyDescent="0.3">
      <c r="A371" s="2" t="s">
        <v>42</v>
      </c>
      <c r="B371" s="2">
        <v>2011</v>
      </c>
      <c r="C371" s="2" t="s">
        <v>43</v>
      </c>
      <c r="D371" s="8">
        <v>2035.0385450000001</v>
      </c>
      <c r="E371" s="4">
        <f t="shared" si="6"/>
        <v>1789204419.0633428</v>
      </c>
      <c r="F371" s="4">
        <v>69916780.852758646</v>
      </c>
      <c r="G371" s="4">
        <v>156809723.121012</v>
      </c>
      <c r="H371" s="4">
        <v>69070070.984126121</v>
      </c>
      <c r="I371" s="4">
        <v>295796574.95789683</v>
      </c>
      <c r="J371" s="3">
        <v>14.047123580314899</v>
      </c>
      <c r="K371" s="4">
        <v>4381.1253552369426</v>
      </c>
      <c r="L371" s="4">
        <v>26095088</v>
      </c>
      <c r="M371" s="3">
        <v>48.969735200000002</v>
      </c>
      <c r="N371" s="3">
        <v>51.4601817</v>
      </c>
      <c r="O371" s="3">
        <v>67.429198999999997</v>
      </c>
      <c r="P371" s="3">
        <v>54.451764999999988</v>
      </c>
      <c r="Q371" s="3">
        <v>60.014486599999998</v>
      </c>
      <c r="R371" s="3">
        <v>65.789806599999991</v>
      </c>
      <c r="S371" s="2">
        <v>0</v>
      </c>
      <c r="T371" s="2">
        <v>0</v>
      </c>
      <c r="U371" s="2">
        <v>0</v>
      </c>
    </row>
    <row r="372" spans="1:21" x14ac:dyDescent="0.3">
      <c r="A372" s="5" t="s">
        <v>42</v>
      </c>
      <c r="B372" s="5">
        <v>2012</v>
      </c>
      <c r="C372" s="5" t="s">
        <v>43</v>
      </c>
      <c r="D372" s="9">
        <v>2058.3073100000001</v>
      </c>
      <c r="E372" s="7">
        <f t="shared" si="6"/>
        <v>1809662300.4466884</v>
      </c>
      <c r="F372" s="7">
        <v>1056855269.699705</v>
      </c>
      <c r="G372" s="7">
        <v>532054090.27409548</v>
      </c>
      <c r="H372" s="7"/>
      <c r="I372" s="7">
        <v>1588909359.9738009</v>
      </c>
      <c r="J372" s="6">
        <v>9.2927894063004999</v>
      </c>
      <c r="K372" s="7">
        <v>4933.6525434909272</v>
      </c>
      <c r="L372" s="7">
        <v>26734268</v>
      </c>
      <c r="M372" s="6">
        <v>47.488913199999999</v>
      </c>
      <c r="N372" s="6">
        <v>51.771597200000002</v>
      </c>
      <c r="O372" s="6">
        <v>66.464882899999992</v>
      </c>
      <c r="P372" s="6">
        <v>54.602640699999988</v>
      </c>
      <c r="Q372" s="6">
        <v>59.816819899999999</v>
      </c>
      <c r="R372" s="6">
        <v>66.092007999999993</v>
      </c>
      <c r="S372" s="5">
        <v>0</v>
      </c>
      <c r="T372" s="5">
        <v>0</v>
      </c>
      <c r="U372" s="5">
        <v>0</v>
      </c>
    </row>
    <row r="373" spans="1:21" x14ac:dyDescent="0.3">
      <c r="A373" s="2" t="s">
        <v>42</v>
      </c>
      <c r="B373" s="2">
        <v>2013</v>
      </c>
      <c r="C373" s="2" t="s">
        <v>43</v>
      </c>
      <c r="D373" s="8">
        <v>1490.7696390000001</v>
      </c>
      <c r="E373" s="4">
        <f t="shared" si="6"/>
        <v>1310683589.9780288</v>
      </c>
      <c r="F373" s="4">
        <v>177057560.4033435</v>
      </c>
      <c r="G373" s="4">
        <v>139210170.93597701</v>
      </c>
      <c r="H373" s="4"/>
      <c r="I373" s="4">
        <v>316267731.33932048</v>
      </c>
      <c r="J373" s="3">
        <v>7.3125250167814499</v>
      </c>
      <c r="K373" s="4">
        <v>5214.5693584879436</v>
      </c>
      <c r="L373" s="4">
        <v>27386193</v>
      </c>
      <c r="M373" s="3">
        <v>47.431627599999999</v>
      </c>
      <c r="N373" s="3">
        <v>49.617312499999997</v>
      </c>
      <c r="O373" s="3">
        <v>66.412587500000001</v>
      </c>
      <c r="P373" s="3">
        <v>54.312451299999999</v>
      </c>
      <c r="Q373" s="3">
        <v>60.4374775</v>
      </c>
      <c r="R373" s="3">
        <v>65.041676699999996</v>
      </c>
      <c r="S373" s="2">
        <v>0</v>
      </c>
      <c r="T373" s="2">
        <v>0</v>
      </c>
      <c r="U373" s="2">
        <v>0</v>
      </c>
    </row>
    <row r="374" spans="1:21" x14ac:dyDescent="0.3">
      <c r="A374" s="5" t="s">
        <v>42</v>
      </c>
      <c r="B374" s="5">
        <v>2014</v>
      </c>
      <c r="C374" s="5" t="s">
        <v>43</v>
      </c>
      <c r="D374" s="9">
        <v>1267.628111</v>
      </c>
      <c r="E374" s="7">
        <f t="shared" si="6"/>
        <v>1114497719.7127819</v>
      </c>
      <c r="F374" s="7">
        <v>4384721.0156241087</v>
      </c>
      <c r="G374" s="7">
        <v>188206189.339443</v>
      </c>
      <c r="H374" s="7"/>
      <c r="I374" s="7">
        <v>192590910.3550671</v>
      </c>
      <c r="J374" s="6">
        <v>2.8562401633088261</v>
      </c>
      <c r="K374" s="7">
        <v>5517.1317876356616</v>
      </c>
      <c r="L374" s="7">
        <v>28041592</v>
      </c>
      <c r="M374" s="6">
        <v>43.903100999999999</v>
      </c>
      <c r="N374" s="6">
        <v>49.627215399999997</v>
      </c>
      <c r="O374" s="6">
        <v>64.306012799999991</v>
      </c>
      <c r="P374" s="6">
        <v>52.682228899999998</v>
      </c>
      <c r="Q374" s="6">
        <v>59.4348989</v>
      </c>
      <c r="R374" s="6">
        <v>64.656705899999992</v>
      </c>
      <c r="S374" s="5">
        <v>0</v>
      </c>
      <c r="T374" s="5">
        <v>0</v>
      </c>
      <c r="U374" s="5">
        <v>0</v>
      </c>
    </row>
    <row r="375" spans="1:21" x14ac:dyDescent="0.3">
      <c r="A375" s="2" t="s">
        <v>42</v>
      </c>
      <c r="B375" s="2">
        <v>2015</v>
      </c>
      <c r="C375" s="2" t="s">
        <v>43</v>
      </c>
      <c r="D375" s="8">
        <v>2245.315047</v>
      </c>
      <c r="E375" s="4">
        <f t="shared" si="6"/>
        <v>1974079367.7604849</v>
      </c>
      <c r="F375" s="4">
        <v>23923735.475864392</v>
      </c>
      <c r="G375" s="4"/>
      <c r="H375" s="4">
        <v>0</v>
      </c>
      <c r="I375" s="4">
        <v>23923735.475864392</v>
      </c>
      <c r="J375" s="3">
        <v>2.1207593381733432</v>
      </c>
      <c r="K375" s="4">
        <v>5191.3705338965883</v>
      </c>
      <c r="L375" s="4">
        <v>28696068</v>
      </c>
      <c r="M375" s="3">
        <v>42.262633999999998</v>
      </c>
      <c r="N375" s="3">
        <v>49.671092700000003</v>
      </c>
      <c r="O375" s="3">
        <v>65.503742199999991</v>
      </c>
      <c r="P375" s="3">
        <v>52.872881799999988</v>
      </c>
      <c r="Q375" s="3">
        <v>60.427175200000001</v>
      </c>
      <c r="R375" s="3">
        <v>63.634940399999998</v>
      </c>
      <c r="S375" s="2">
        <v>0</v>
      </c>
      <c r="T375" s="2">
        <v>0</v>
      </c>
      <c r="U375" s="2">
        <v>0</v>
      </c>
    </row>
    <row r="376" spans="1:21" x14ac:dyDescent="0.3">
      <c r="A376" s="5" t="s">
        <v>42</v>
      </c>
      <c r="B376" s="5">
        <v>2016</v>
      </c>
      <c r="C376" s="5" t="s">
        <v>43</v>
      </c>
      <c r="D376" s="9">
        <v>1725.524138</v>
      </c>
      <c r="E376" s="7">
        <f t="shared" si="6"/>
        <v>1517079575.9596117</v>
      </c>
      <c r="F376" s="7">
        <v>141889.232842264</v>
      </c>
      <c r="G376" s="7">
        <v>833568540.73536146</v>
      </c>
      <c r="H376" s="7"/>
      <c r="I376" s="7">
        <v>833710429.96820366</v>
      </c>
      <c r="J376" s="6">
        <v>3.3734657496693639</v>
      </c>
      <c r="K376" s="7">
        <v>5011.0793157290454</v>
      </c>
      <c r="L376" s="7">
        <v>29356742</v>
      </c>
      <c r="M376" s="6">
        <v>42.8641638</v>
      </c>
      <c r="N376" s="6">
        <v>51.685994899999997</v>
      </c>
      <c r="O376" s="6">
        <v>63.704395499999997</v>
      </c>
      <c r="P376" s="6">
        <v>51.059165200000002</v>
      </c>
      <c r="Q376" s="6">
        <v>60.475859099999987</v>
      </c>
      <c r="R376" s="6">
        <v>63.341612699999999</v>
      </c>
      <c r="S376" s="5">
        <v>0</v>
      </c>
      <c r="T376" s="5">
        <v>0</v>
      </c>
      <c r="U376" s="5">
        <v>0</v>
      </c>
    </row>
    <row r="377" spans="1:21" x14ac:dyDescent="0.3">
      <c r="A377" s="2" t="s">
        <v>42</v>
      </c>
      <c r="B377" s="2">
        <v>2017</v>
      </c>
      <c r="C377" s="2" t="s">
        <v>43</v>
      </c>
      <c r="D377" s="8">
        <v>1655.2632390000001</v>
      </c>
      <c r="E377" s="4">
        <f t="shared" si="6"/>
        <v>1455306244.3010888</v>
      </c>
      <c r="F377" s="4">
        <v>18817925.786034908</v>
      </c>
      <c r="G377" s="4">
        <v>571901159.06897497</v>
      </c>
      <c r="H377" s="4">
        <v>0</v>
      </c>
      <c r="I377" s="4">
        <v>590719084.85500991</v>
      </c>
      <c r="J377" s="3">
        <v>8.1288948810095576</v>
      </c>
      <c r="K377" s="4">
        <v>5170.9609485743858</v>
      </c>
      <c r="L377" s="4">
        <v>30008354</v>
      </c>
      <c r="M377" s="3">
        <v>42.270135499999988</v>
      </c>
      <c r="N377" s="3">
        <v>52.052318300000003</v>
      </c>
      <c r="O377" s="3">
        <v>67.028524399999995</v>
      </c>
      <c r="P377" s="3">
        <v>52.283734000000003</v>
      </c>
      <c r="Q377" s="3">
        <v>61.784192699999998</v>
      </c>
      <c r="R377" s="3">
        <v>64.755715699999996</v>
      </c>
      <c r="S377" s="2">
        <v>0</v>
      </c>
      <c r="T377" s="2">
        <v>0</v>
      </c>
      <c r="U377" s="2">
        <v>0</v>
      </c>
    </row>
    <row r="378" spans="1:21" x14ac:dyDescent="0.3">
      <c r="A378" s="5" t="s">
        <v>42</v>
      </c>
      <c r="B378" s="5">
        <v>2018</v>
      </c>
      <c r="C378" s="5" t="s">
        <v>43</v>
      </c>
      <c r="D378" s="9">
        <v>1424.4422950000001</v>
      </c>
      <c r="E378" s="7">
        <f t="shared" si="6"/>
        <v>1252368637.0347004</v>
      </c>
      <c r="F378" s="7">
        <v>186833707.90847349</v>
      </c>
      <c r="G378" s="7">
        <v>837433981.02599084</v>
      </c>
      <c r="H378" s="7"/>
      <c r="I378" s="7">
        <v>1024267688.934464</v>
      </c>
      <c r="J378" s="6">
        <v>6.2000776812728446</v>
      </c>
      <c r="K378" s="7">
        <v>5536.497954002185</v>
      </c>
      <c r="L378" s="7">
        <v>30637585</v>
      </c>
      <c r="M378" s="6">
        <v>45.016462300000001</v>
      </c>
      <c r="N378" s="6">
        <v>51.070725799999998</v>
      </c>
      <c r="O378" s="6">
        <v>65.347064599999996</v>
      </c>
      <c r="P378" s="6">
        <v>52.200252799999987</v>
      </c>
      <c r="Q378" s="6">
        <v>60.405689299999999</v>
      </c>
      <c r="R378" s="6">
        <v>63.4452274</v>
      </c>
      <c r="S378" s="5">
        <v>0</v>
      </c>
      <c r="T378" s="5">
        <v>0</v>
      </c>
      <c r="U378" s="5">
        <v>0</v>
      </c>
    </row>
    <row r="379" spans="1:21" x14ac:dyDescent="0.3">
      <c r="A379" s="2" t="s">
        <v>42</v>
      </c>
      <c r="B379" s="2">
        <v>2019</v>
      </c>
      <c r="C379" s="2" t="s">
        <v>43</v>
      </c>
      <c r="D379" s="8">
        <v>1228.7781689999999</v>
      </c>
      <c r="E379" s="4">
        <f t="shared" si="6"/>
        <v>1080340878.7637303</v>
      </c>
      <c r="F379" s="4">
        <v>156485287.9585925</v>
      </c>
      <c r="G379" s="4">
        <v>1019618852.4732291</v>
      </c>
      <c r="H379" s="4"/>
      <c r="I379" s="4">
        <v>1176104140.4318221</v>
      </c>
      <c r="J379" s="3">
        <v>6.5077747939152033</v>
      </c>
      <c r="K379" s="4">
        <v>6002.5504467838546</v>
      </c>
      <c r="L379" s="4">
        <v>31258945</v>
      </c>
      <c r="M379" s="3">
        <v>45.841895899999997</v>
      </c>
      <c r="N379" s="3">
        <v>50.277213400000001</v>
      </c>
      <c r="O379" s="3">
        <v>66.123281599999999</v>
      </c>
      <c r="P379" s="3">
        <v>51.810479399999998</v>
      </c>
      <c r="Q379" s="3">
        <v>58.990625299999998</v>
      </c>
      <c r="R379" s="3">
        <v>62.451892899999997</v>
      </c>
      <c r="S379" s="2">
        <v>0</v>
      </c>
      <c r="T379" s="2">
        <v>0</v>
      </c>
      <c r="U379" s="2">
        <v>0</v>
      </c>
    </row>
    <row r="380" spans="1:21" x14ac:dyDescent="0.3">
      <c r="A380" s="5" t="s">
        <v>42</v>
      </c>
      <c r="B380" s="5">
        <v>2020</v>
      </c>
      <c r="C380" s="5" t="s">
        <v>43</v>
      </c>
      <c r="D380" s="9">
        <v>2723.6256210000001</v>
      </c>
      <c r="E380" s="7">
        <f t="shared" si="6"/>
        <v>2394609678.986371</v>
      </c>
      <c r="F380" s="7">
        <v>311196569.87942469</v>
      </c>
      <c r="G380" s="7">
        <v>678282569.51045275</v>
      </c>
      <c r="H380" s="7"/>
      <c r="I380" s="7">
        <v>989479139.38987744</v>
      </c>
      <c r="J380" s="6">
        <v>0.51394167062817075</v>
      </c>
      <c r="K380" s="7">
        <v>6047.3011167355417</v>
      </c>
      <c r="L380" s="7">
        <v>31887809</v>
      </c>
      <c r="M380" s="6">
        <v>45.987481099999997</v>
      </c>
      <c r="N380" s="6">
        <v>51.138927600000002</v>
      </c>
      <c r="O380" s="6">
        <v>66.900251900000001</v>
      </c>
      <c r="P380" s="6">
        <v>52.337378899999997</v>
      </c>
      <c r="Q380" s="6">
        <v>58.875179299999999</v>
      </c>
      <c r="R380" s="6">
        <v>61.801563399999999</v>
      </c>
      <c r="S380" s="5">
        <v>0</v>
      </c>
      <c r="T380" s="5">
        <v>0</v>
      </c>
      <c r="U380" s="5">
        <v>0</v>
      </c>
    </row>
    <row r="381" spans="1:21" x14ac:dyDescent="0.3">
      <c r="A381" s="2" t="s">
        <v>42</v>
      </c>
      <c r="B381" s="2">
        <v>2021</v>
      </c>
      <c r="C381" s="2" t="s">
        <v>43</v>
      </c>
      <c r="D381" s="8">
        <v>1666.2030890000001</v>
      </c>
      <c r="E381" s="4">
        <f t="shared" si="6"/>
        <v>1464924552.5203516</v>
      </c>
      <c r="F381" s="4">
        <v>1008445.945945946</v>
      </c>
      <c r="G381" s="4">
        <v>107142856</v>
      </c>
      <c r="H381" s="4"/>
      <c r="I381" s="4">
        <v>108151301.9459459</v>
      </c>
      <c r="J381" s="3">
        <v>5.0764664353354192</v>
      </c>
      <c r="K381" s="4">
        <v>6607.5029737832083</v>
      </c>
      <c r="L381" s="4">
        <v>32518665</v>
      </c>
      <c r="M381" s="3">
        <v>44.708505600000002</v>
      </c>
      <c r="N381" s="3">
        <v>50.475011599999988</v>
      </c>
      <c r="O381" s="3">
        <v>63.122924099999999</v>
      </c>
      <c r="P381" s="3">
        <v>51.896444700000004</v>
      </c>
      <c r="Q381" s="3">
        <v>57.679331500000004</v>
      </c>
      <c r="R381" s="3">
        <v>60.469389499999998</v>
      </c>
      <c r="S381" s="2">
        <v>0</v>
      </c>
      <c r="T381" s="2">
        <v>0</v>
      </c>
      <c r="U381" s="2">
        <v>0</v>
      </c>
    </row>
    <row r="382" spans="1:21" x14ac:dyDescent="0.3">
      <c r="A382" s="2" t="s">
        <v>44</v>
      </c>
      <c r="B382" s="2">
        <v>2002</v>
      </c>
      <c r="C382" s="2" t="s">
        <v>45</v>
      </c>
      <c r="D382" s="8">
        <v>398.30564500000003</v>
      </c>
      <c r="E382" s="4">
        <f t="shared" si="6"/>
        <v>350190035.42848134</v>
      </c>
      <c r="F382" s="4">
        <v>14996729.4120219</v>
      </c>
      <c r="G382" s="4"/>
      <c r="H382" s="4"/>
      <c r="I382" s="4">
        <v>14996729.4120219</v>
      </c>
      <c r="J382" s="3">
        <v>5.1646094669663114</v>
      </c>
      <c r="K382" s="4">
        <v>1315.3666937168441</v>
      </c>
      <c r="L382" s="4">
        <v>8674066</v>
      </c>
      <c r="M382" s="3">
        <v>30.522260500000002</v>
      </c>
      <c r="N382" s="3">
        <v>31.892659099999999</v>
      </c>
      <c r="O382" s="3">
        <v>34.828286499999997</v>
      </c>
      <c r="P382" s="3">
        <v>31.219142300000001</v>
      </c>
      <c r="Q382" s="3">
        <v>37.064115299999997</v>
      </c>
      <c r="R382" s="3">
        <v>31.915102600000001</v>
      </c>
      <c r="S382" s="2">
        <v>0</v>
      </c>
      <c r="T382" s="2">
        <v>0</v>
      </c>
      <c r="U382" s="2">
        <v>0</v>
      </c>
    </row>
    <row r="383" spans="1:21" x14ac:dyDescent="0.3">
      <c r="A383" s="5" t="s">
        <v>44</v>
      </c>
      <c r="B383" s="5">
        <v>2003</v>
      </c>
      <c r="C383" s="5" t="s">
        <v>45</v>
      </c>
      <c r="D383" s="9">
        <v>367.01151199999998</v>
      </c>
      <c r="E383" s="7">
        <f t="shared" si="6"/>
        <v>322676256.29543984</v>
      </c>
      <c r="F383" s="7">
        <v>0</v>
      </c>
      <c r="G383" s="7"/>
      <c r="H383" s="7"/>
      <c r="I383" s="7">
        <v>0</v>
      </c>
      <c r="J383" s="6">
        <v>1.248601259236978</v>
      </c>
      <c r="K383" s="7">
        <v>1327.9677654105419</v>
      </c>
      <c r="L383" s="7">
        <v>8870781</v>
      </c>
      <c r="M383" s="6">
        <v>30.492815199999999</v>
      </c>
      <c r="N383" s="6">
        <v>31.762599999999999</v>
      </c>
      <c r="O383" s="6">
        <v>47.5784679</v>
      </c>
      <c r="P383" s="6">
        <v>28.9188191</v>
      </c>
      <c r="Q383" s="6">
        <v>33.628777999999997</v>
      </c>
      <c r="R383" s="6">
        <v>31.068515900000001</v>
      </c>
      <c r="S383" s="5">
        <v>0</v>
      </c>
      <c r="T383" s="5">
        <v>0</v>
      </c>
      <c r="U383" s="5">
        <v>0</v>
      </c>
    </row>
    <row r="384" spans="1:21" x14ac:dyDescent="0.3">
      <c r="A384" s="2" t="s">
        <v>44</v>
      </c>
      <c r="B384" s="2">
        <v>2004</v>
      </c>
      <c r="C384" s="2" t="s">
        <v>45</v>
      </c>
      <c r="D384" s="8">
        <v>368.00844499999999</v>
      </c>
      <c r="E384" s="4">
        <f t="shared" si="6"/>
        <v>323552759.06905687</v>
      </c>
      <c r="F384" s="4">
        <v>99065139.637062997</v>
      </c>
      <c r="G384" s="4"/>
      <c r="H384" s="4">
        <v>4555304.2437732704</v>
      </c>
      <c r="I384" s="4">
        <v>103620443.88083629</v>
      </c>
      <c r="J384" s="3">
        <v>2.3401173128873718</v>
      </c>
      <c r="K384" s="4">
        <v>1366.031602392354</v>
      </c>
      <c r="L384" s="4">
        <v>9062726</v>
      </c>
      <c r="M384" s="3">
        <v>29.9939909</v>
      </c>
      <c r="N384" s="3">
        <v>34.642539399999997</v>
      </c>
      <c r="O384" s="3">
        <v>45.391076699999999</v>
      </c>
      <c r="P384" s="3">
        <v>37.375929599999999</v>
      </c>
      <c r="Q384" s="3">
        <v>35.135886599999999</v>
      </c>
      <c r="R384" s="3">
        <v>34.489664400000002</v>
      </c>
      <c r="S384" s="2">
        <v>0</v>
      </c>
      <c r="T384" s="2">
        <v>0</v>
      </c>
      <c r="U384" s="2">
        <v>0</v>
      </c>
    </row>
    <row r="385" spans="1:21" x14ac:dyDescent="0.3">
      <c r="A385" s="5" t="s">
        <v>44</v>
      </c>
      <c r="B385" s="5">
        <v>2005</v>
      </c>
      <c r="C385" s="5" t="s">
        <v>45</v>
      </c>
      <c r="D385" s="9">
        <v>295.34369400000003</v>
      </c>
      <c r="E385" s="7">
        <f t="shared" si="6"/>
        <v>259665962.46819085</v>
      </c>
      <c r="F385" s="7">
        <v>97660500.732636705</v>
      </c>
      <c r="G385" s="7"/>
      <c r="H385" s="7"/>
      <c r="I385" s="7">
        <v>97660500.732636705</v>
      </c>
      <c r="J385" s="6">
        <v>2.9972725627581842</v>
      </c>
      <c r="K385" s="7">
        <v>1422.3508819892149</v>
      </c>
      <c r="L385" s="7">
        <v>9245844</v>
      </c>
      <c r="M385" s="6">
        <v>29.865305299999999</v>
      </c>
      <c r="N385" s="6">
        <v>34.779751900000001</v>
      </c>
      <c r="O385" s="6">
        <v>44.847763999999998</v>
      </c>
      <c r="P385" s="6">
        <v>39.523645399999999</v>
      </c>
      <c r="Q385" s="6">
        <v>33.467412199999998</v>
      </c>
      <c r="R385" s="6">
        <v>37.777515700000002</v>
      </c>
      <c r="S385" s="5">
        <v>0</v>
      </c>
      <c r="T385" s="5">
        <v>0</v>
      </c>
      <c r="U385" s="5">
        <v>0</v>
      </c>
    </row>
    <row r="386" spans="1:21" x14ac:dyDescent="0.3">
      <c r="A386" s="2" t="s">
        <v>44</v>
      </c>
      <c r="B386" s="2">
        <v>2006</v>
      </c>
      <c r="C386" s="2" t="s">
        <v>45</v>
      </c>
      <c r="D386" s="8">
        <v>280.316057</v>
      </c>
      <c r="E386" s="4">
        <f t="shared" si="6"/>
        <v>246453674.8707194</v>
      </c>
      <c r="F386" s="4">
        <v>3506529.0342238611</v>
      </c>
      <c r="G386" s="4"/>
      <c r="H386" s="4">
        <v>26415338.108337112</v>
      </c>
      <c r="I386" s="4">
        <v>29921867.14256097</v>
      </c>
      <c r="J386" s="3">
        <v>1.18960211693242</v>
      </c>
      <c r="K386" s="4">
        <v>1452.960831641868</v>
      </c>
      <c r="L386" s="4">
        <v>9441171</v>
      </c>
      <c r="M386" s="3">
        <v>23.983410899999999</v>
      </c>
      <c r="N386" s="3">
        <v>26.549584400000001</v>
      </c>
      <c r="O386" s="3">
        <v>34.500632400000001</v>
      </c>
      <c r="P386" s="3">
        <v>37.065456599999997</v>
      </c>
      <c r="Q386" s="3">
        <v>33.340839500000001</v>
      </c>
      <c r="R386" s="3">
        <v>35.942507499999998</v>
      </c>
      <c r="S386" s="2">
        <v>0</v>
      </c>
      <c r="T386" s="2">
        <v>0</v>
      </c>
      <c r="U386" s="2">
        <v>0</v>
      </c>
    </row>
    <row r="387" spans="1:21" x14ac:dyDescent="0.3">
      <c r="A387" s="5" t="s">
        <v>44</v>
      </c>
      <c r="B387" s="5">
        <v>2007</v>
      </c>
      <c r="C387" s="5" t="s">
        <v>45</v>
      </c>
      <c r="D387" s="9">
        <v>312.790819</v>
      </c>
      <c r="E387" s="7">
        <f t="shared" si="6"/>
        <v>275005462.16791296</v>
      </c>
      <c r="F387" s="7">
        <v>9562575.8752191402</v>
      </c>
      <c r="G387" s="7">
        <v>23736875.9782428</v>
      </c>
      <c r="H387" s="7"/>
      <c r="I387" s="7">
        <v>33299451.85346194</v>
      </c>
      <c r="J387" s="6">
        <v>6.8174711107028116</v>
      </c>
      <c r="K387" s="7">
        <v>1557.5858486886259</v>
      </c>
      <c r="L387" s="7">
        <v>9662281</v>
      </c>
      <c r="M387" s="6">
        <v>20.124165999999999</v>
      </c>
      <c r="N387" s="6">
        <v>27.468409600000001</v>
      </c>
      <c r="O387" s="6">
        <v>27.599378900000001</v>
      </c>
      <c r="P387" s="6">
        <v>36.674886800000003</v>
      </c>
      <c r="Q387" s="6">
        <v>32.554821500000003</v>
      </c>
      <c r="R387" s="6">
        <v>33.5371667</v>
      </c>
      <c r="S387" s="5">
        <v>0</v>
      </c>
      <c r="T387" s="5">
        <v>0</v>
      </c>
      <c r="U387" s="5">
        <v>0</v>
      </c>
    </row>
    <row r="388" spans="1:21" x14ac:dyDescent="0.3">
      <c r="A388" s="2" t="s">
        <v>44</v>
      </c>
      <c r="B388" s="2">
        <v>2008</v>
      </c>
      <c r="C388" s="2" t="s">
        <v>45</v>
      </c>
      <c r="D388" s="8">
        <v>506.73725999999999</v>
      </c>
      <c r="E388" s="4">
        <f t="shared" si="6"/>
        <v>445523033.02739167</v>
      </c>
      <c r="F388" s="4">
        <v>15245859.2194905</v>
      </c>
      <c r="G388" s="4">
        <v>0</v>
      </c>
      <c r="H388" s="4"/>
      <c r="I388" s="4">
        <v>15245859.2194905</v>
      </c>
      <c r="J388" s="3">
        <v>4.1330161596583253</v>
      </c>
      <c r="K388" s="4">
        <v>1613.698845189364</v>
      </c>
      <c r="L388" s="4">
        <v>9898870</v>
      </c>
      <c r="M388" s="3">
        <v>21.237932199999999</v>
      </c>
      <c r="N388" s="3">
        <v>28.714886</v>
      </c>
      <c r="O388" s="3">
        <v>30.934416200000001</v>
      </c>
      <c r="P388" s="3">
        <v>35.888742999999998</v>
      </c>
      <c r="Q388" s="3">
        <v>30.450831999999998</v>
      </c>
      <c r="R388" s="3">
        <v>31.765519300000001</v>
      </c>
      <c r="S388" s="2">
        <v>0</v>
      </c>
      <c r="T388" s="2">
        <v>0</v>
      </c>
      <c r="U388" s="2">
        <v>0</v>
      </c>
    </row>
    <row r="389" spans="1:21" x14ac:dyDescent="0.3">
      <c r="A389" s="5" t="s">
        <v>44</v>
      </c>
      <c r="B389" s="5">
        <v>2009</v>
      </c>
      <c r="C389" s="5" t="s">
        <v>45</v>
      </c>
      <c r="D389" s="9">
        <v>285.531454</v>
      </c>
      <c r="E389" s="7">
        <f t="shared" si="6"/>
        <v>251039048.14657038</v>
      </c>
      <c r="F389" s="7">
        <v>0</v>
      </c>
      <c r="G389" s="7"/>
      <c r="H389" s="7"/>
      <c r="I389" s="7">
        <v>0</v>
      </c>
      <c r="J389" s="6">
        <v>-1.1226420484868671</v>
      </c>
      <c r="K389" s="7">
        <v>1566.700892477646</v>
      </c>
      <c r="L389" s="7">
        <v>10143534</v>
      </c>
      <c r="M389" s="6">
        <v>21.8010476</v>
      </c>
      <c r="N389" s="6">
        <v>28.262497499999998</v>
      </c>
      <c r="O389" s="6">
        <v>35.091022000000002</v>
      </c>
      <c r="P389" s="6">
        <v>36.5708348</v>
      </c>
      <c r="Q389" s="6">
        <v>28.919728200000002</v>
      </c>
      <c r="R389" s="6">
        <v>33.7012018</v>
      </c>
      <c r="S389" s="5">
        <v>0</v>
      </c>
      <c r="T389" s="5">
        <v>0</v>
      </c>
      <c r="U389" s="5">
        <v>0</v>
      </c>
    </row>
    <row r="390" spans="1:21" x14ac:dyDescent="0.3">
      <c r="A390" s="2" t="s">
        <v>44</v>
      </c>
      <c r="B390" s="2">
        <v>2010</v>
      </c>
      <c r="C390" s="2" t="s">
        <v>45</v>
      </c>
      <c r="D390" s="8">
        <v>274.05626000000001</v>
      </c>
      <c r="E390" s="4">
        <f t="shared" si="6"/>
        <v>240950065.86913195</v>
      </c>
      <c r="F390" s="4"/>
      <c r="G390" s="4"/>
      <c r="H390" s="4"/>
      <c r="I390" s="4"/>
      <c r="J390" s="3">
        <v>4.8133601696755326</v>
      </c>
      <c r="K390" s="4">
        <v>1621.691611412424</v>
      </c>
      <c r="L390" s="4">
        <v>10396086</v>
      </c>
      <c r="M390" s="3">
        <v>23.500792000000001</v>
      </c>
      <c r="N390" s="3">
        <v>29.686250900000001</v>
      </c>
      <c r="O390" s="3">
        <v>37.0132555</v>
      </c>
      <c r="P390" s="3">
        <v>37.308708600000003</v>
      </c>
      <c r="Q390" s="3">
        <v>31.265992799999999</v>
      </c>
      <c r="R390" s="3">
        <v>40.1848466</v>
      </c>
      <c r="S390" s="2">
        <v>0</v>
      </c>
      <c r="T390" s="2">
        <v>0</v>
      </c>
      <c r="U390" s="2">
        <v>0</v>
      </c>
    </row>
    <row r="391" spans="1:21" x14ac:dyDescent="0.3">
      <c r="A391" s="5" t="s">
        <v>44</v>
      </c>
      <c r="B391" s="5">
        <v>2011</v>
      </c>
      <c r="C391" s="5" t="s">
        <v>45</v>
      </c>
      <c r="D391" s="9">
        <v>365.158433</v>
      </c>
      <c r="E391" s="7">
        <f t="shared" si="6"/>
        <v>321047030.57692975</v>
      </c>
      <c r="F391" s="7">
        <v>570749.02796531899</v>
      </c>
      <c r="G391" s="7"/>
      <c r="H391" s="7"/>
      <c r="I391" s="7">
        <v>570749.02796531899</v>
      </c>
      <c r="J391" s="6">
        <v>5.6121117743097528</v>
      </c>
      <c r="K391" s="7">
        <v>1705.2711043804859</v>
      </c>
      <c r="L391" s="7">
        <v>10656810</v>
      </c>
      <c r="M391" s="6">
        <v>24.691172399999999</v>
      </c>
      <c r="N391" s="6">
        <v>28.7471183</v>
      </c>
      <c r="O391" s="6">
        <v>39.611606100000003</v>
      </c>
      <c r="P391" s="6">
        <v>38.037988599999998</v>
      </c>
      <c r="Q391" s="6">
        <v>32.124920500000002</v>
      </c>
      <c r="R391" s="6">
        <v>40.944449400000003</v>
      </c>
      <c r="S391" s="5">
        <v>0</v>
      </c>
      <c r="T391" s="5">
        <v>0</v>
      </c>
      <c r="U391" s="5">
        <v>0</v>
      </c>
    </row>
    <row r="392" spans="1:21" x14ac:dyDescent="0.3">
      <c r="A392" s="2" t="s">
        <v>44</v>
      </c>
      <c r="B392" s="2">
        <v>2012</v>
      </c>
      <c r="C392" s="2" t="s">
        <v>45</v>
      </c>
      <c r="D392" s="8">
        <v>831.50209800000005</v>
      </c>
      <c r="E392" s="4">
        <f t="shared" si="6"/>
        <v>731056044.05249274</v>
      </c>
      <c r="F392" s="4">
        <v>0</v>
      </c>
      <c r="G392" s="4">
        <v>824234737.66394305</v>
      </c>
      <c r="H392" s="4"/>
      <c r="I392" s="4">
        <v>824234737.66394305</v>
      </c>
      <c r="J392" s="3">
        <v>5.9152862613332218</v>
      </c>
      <c r="K392" s="4">
        <v>1789.974730335613</v>
      </c>
      <c r="L392" s="4">
        <v>10921581</v>
      </c>
      <c r="M392" s="3">
        <v>24.505314599999998</v>
      </c>
      <c r="N392" s="3">
        <v>27.595659000000001</v>
      </c>
      <c r="O392" s="3">
        <v>40.489292900000002</v>
      </c>
      <c r="P392" s="3">
        <v>38.379927199999997</v>
      </c>
      <c r="Q392" s="3">
        <v>32.106422500000001</v>
      </c>
      <c r="R392" s="3">
        <v>39.595996300000003</v>
      </c>
      <c r="S392" s="2">
        <v>0</v>
      </c>
      <c r="T392" s="2">
        <v>0</v>
      </c>
      <c r="U392" s="2">
        <v>0</v>
      </c>
    </row>
    <row r="393" spans="1:21" x14ac:dyDescent="0.3">
      <c r="A393" s="5" t="s">
        <v>44</v>
      </c>
      <c r="B393" s="5">
        <v>2013</v>
      </c>
      <c r="C393" s="5" t="s">
        <v>45</v>
      </c>
      <c r="D393" s="9">
        <v>674.83117100000004</v>
      </c>
      <c r="E393" s="7">
        <f t="shared" si="6"/>
        <v>593311078.18151438</v>
      </c>
      <c r="F393" s="7">
        <v>0</v>
      </c>
      <c r="G393" s="7">
        <v>433899259.79981971</v>
      </c>
      <c r="H393" s="7"/>
      <c r="I393" s="7">
        <v>433899259.79981971</v>
      </c>
      <c r="J393" s="6">
        <v>3.9456870862405249</v>
      </c>
      <c r="K393" s="7">
        <v>1842.0022773740909</v>
      </c>
      <c r="L393" s="7">
        <v>11191873</v>
      </c>
      <c r="M393" s="6">
        <v>24.682830800000001</v>
      </c>
      <c r="N393" s="6">
        <v>29.748769299999999</v>
      </c>
      <c r="O393" s="6">
        <v>41.918523999999998</v>
      </c>
      <c r="P393" s="6">
        <v>37.463754299999998</v>
      </c>
      <c r="Q393" s="6">
        <v>31.483866599999999</v>
      </c>
      <c r="R393" s="6">
        <v>39.728623200000001</v>
      </c>
      <c r="S393" s="5">
        <v>0</v>
      </c>
      <c r="T393" s="5">
        <v>0</v>
      </c>
      <c r="U393" s="5">
        <v>0</v>
      </c>
    </row>
    <row r="394" spans="1:21" x14ac:dyDescent="0.3">
      <c r="A394" s="2" t="s">
        <v>44</v>
      </c>
      <c r="B394" s="2">
        <v>2014</v>
      </c>
      <c r="C394" s="2" t="s">
        <v>45</v>
      </c>
      <c r="D394" s="8">
        <v>619.65884800000003</v>
      </c>
      <c r="E394" s="4">
        <f t="shared" si="6"/>
        <v>544803611.64525282</v>
      </c>
      <c r="F394" s="4">
        <v>9726138.6300975643</v>
      </c>
      <c r="G394" s="4">
        <v>237139798.567698</v>
      </c>
      <c r="H394" s="4"/>
      <c r="I394" s="4">
        <v>246865937.1977956</v>
      </c>
      <c r="J394" s="3">
        <v>3.6965531166408572</v>
      </c>
      <c r="K394" s="4">
        <v>1873.2141305895709</v>
      </c>
      <c r="L394" s="4">
        <v>11472924</v>
      </c>
      <c r="M394" s="3">
        <v>24.0192364</v>
      </c>
      <c r="N394" s="3">
        <v>31.8794936</v>
      </c>
      <c r="O394" s="3">
        <v>45.928632999999998</v>
      </c>
      <c r="P394" s="3">
        <v>37.724804399999996</v>
      </c>
      <c r="Q394" s="3">
        <v>31.003551999999999</v>
      </c>
      <c r="R394" s="3">
        <v>40.557782600000003</v>
      </c>
      <c r="S394" s="2">
        <v>0</v>
      </c>
      <c r="T394" s="2">
        <v>0</v>
      </c>
      <c r="U394" s="2">
        <v>0</v>
      </c>
    </row>
    <row r="395" spans="1:21" x14ac:dyDescent="0.3">
      <c r="A395" s="5" t="s">
        <v>44</v>
      </c>
      <c r="B395" s="5">
        <v>2015</v>
      </c>
      <c r="C395" s="5" t="s">
        <v>45</v>
      </c>
      <c r="D395" s="9">
        <v>719.65558399999998</v>
      </c>
      <c r="E395" s="7">
        <f t="shared" si="6"/>
        <v>632720669.71901536</v>
      </c>
      <c r="F395" s="7">
        <v>1803495.823185663</v>
      </c>
      <c r="G395" s="7">
        <v>87609924.857915804</v>
      </c>
      <c r="H395" s="7"/>
      <c r="I395" s="7">
        <v>89413420.681101471</v>
      </c>
      <c r="J395" s="6">
        <v>3.8259105694943538</v>
      </c>
      <c r="K395" s="7">
        <v>1929.6809133218669</v>
      </c>
      <c r="L395" s="7">
        <v>11767070</v>
      </c>
      <c r="M395" s="6">
        <v>25.644682199999998</v>
      </c>
      <c r="N395" s="6">
        <v>32.961631099999998</v>
      </c>
      <c r="O395" s="6">
        <v>53.146102799999987</v>
      </c>
      <c r="P395" s="6">
        <v>41.206687799999997</v>
      </c>
      <c r="Q395" s="6">
        <v>36.494229300000001</v>
      </c>
      <c r="R395" s="6">
        <v>41.627753499999997</v>
      </c>
      <c r="S395" s="5">
        <v>0</v>
      </c>
      <c r="T395" s="5">
        <v>0</v>
      </c>
      <c r="U395" s="5">
        <v>0</v>
      </c>
    </row>
    <row r="396" spans="1:21" x14ac:dyDescent="0.3">
      <c r="A396" s="2" t="s">
        <v>44</v>
      </c>
      <c r="B396" s="2">
        <v>2016</v>
      </c>
      <c r="C396" s="2" t="s">
        <v>45</v>
      </c>
      <c r="D396" s="8">
        <v>732.43319199999996</v>
      </c>
      <c r="E396" s="4">
        <f t="shared" si="6"/>
        <v>643954733.44465315</v>
      </c>
      <c r="F396" s="4">
        <v>0</v>
      </c>
      <c r="G396" s="4"/>
      <c r="H396" s="4"/>
      <c r="I396" s="4">
        <v>0</v>
      </c>
      <c r="J396" s="3">
        <v>10.82062719659001</v>
      </c>
      <c r="K396" s="4">
        <v>2255.3261799261541</v>
      </c>
      <c r="L396" s="4">
        <v>12073030</v>
      </c>
      <c r="M396" s="3">
        <v>27.4345885</v>
      </c>
      <c r="N396" s="3">
        <v>34.2602136</v>
      </c>
      <c r="O396" s="3">
        <v>56.027572399999997</v>
      </c>
      <c r="P396" s="3">
        <v>41.792720699999997</v>
      </c>
      <c r="Q396" s="3">
        <v>37.3318364</v>
      </c>
      <c r="R396" s="3">
        <v>41.376892099999999</v>
      </c>
      <c r="S396" s="2">
        <v>0</v>
      </c>
      <c r="T396" s="2">
        <v>0</v>
      </c>
      <c r="U396" s="2">
        <v>0</v>
      </c>
    </row>
    <row r="397" spans="1:21" x14ac:dyDescent="0.3">
      <c r="A397" s="5" t="s">
        <v>44</v>
      </c>
      <c r="B397" s="5">
        <v>2017</v>
      </c>
      <c r="C397" s="5" t="s">
        <v>45</v>
      </c>
      <c r="D397" s="9">
        <v>595.65647899999999</v>
      </c>
      <c r="E397" s="7">
        <f t="shared" si="6"/>
        <v>523700746.15491432</v>
      </c>
      <c r="F397" s="7">
        <v>22595044.935856521</v>
      </c>
      <c r="G397" s="7">
        <v>0</v>
      </c>
      <c r="H397" s="7"/>
      <c r="I397" s="7">
        <v>22595044.935856521</v>
      </c>
      <c r="J397" s="6">
        <v>10.30000534273552</v>
      </c>
      <c r="K397" s="7">
        <v>2687.0950482717089</v>
      </c>
      <c r="L397" s="7">
        <v>12385659</v>
      </c>
      <c r="M397" s="6">
        <v>25.765382500000001</v>
      </c>
      <c r="N397" s="6">
        <v>34.074130400000001</v>
      </c>
      <c r="O397" s="6">
        <v>52.222159099999999</v>
      </c>
      <c r="P397" s="6">
        <v>42.445133899999988</v>
      </c>
      <c r="Q397" s="6">
        <v>37.3161591</v>
      </c>
      <c r="R397" s="6">
        <v>41.708244000000001</v>
      </c>
      <c r="S397" s="5">
        <v>0</v>
      </c>
      <c r="T397" s="5">
        <v>0</v>
      </c>
      <c r="U397" s="5">
        <v>0</v>
      </c>
    </row>
    <row r="398" spans="1:21" x14ac:dyDescent="0.3">
      <c r="A398" s="2" t="s">
        <v>44</v>
      </c>
      <c r="B398" s="2">
        <v>2018</v>
      </c>
      <c r="C398" s="2" t="s">
        <v>45</v>
      </c>
      <c r="D398" s="8">
        <v>768.81316700000002</v>
      </c>
      <c r="E398" s="4">
        <f t="shared" si="6"/>
        <v>675939981.1911099</v>
      </c>
      <c r="F398" s="4">
        <v>4943486.4814964198</v>
      </c>
      <c r="G398" s="4">
        <v>1943378672.618062</v>
      </c>
      <c r="H398" s="4">
        <v>277911685.70906198</v>
      </c>
      <c r="I398" s="4">
        <v>2226233844.80862</v>
      </c>
      <c r="J398" s="3">
        <v>6.3584919273671554</v>
      </c>
      <c r="K398" s="4">
        <v>2844.464276705487</v>
      </c>
      <c r="L398" s="4">
        <v>12704774</v>
      </c>
      <c r="M398" s="3">
        <v>25.233851999999999</v>
      </c>
      <c r="N398" s="3">
        <v>35.046273100000001</v>
      </c>
      <c r="O398" s="3">
        <v>49.999745500000003</v>
      </c>
      <c r="P398" s="3">
        <v>42.2011216</v>
      </c>
      <c r="Q398" s="3">
        <v>37.963009700000001</v>
      </c>
      <c r="R398" s="3">
        <v>43.081963599999987</v>
      </c>
      <c r="S398" s="2">
        <v>0</v>
      </c>
      <c r="T398" s="2">
        <v>0</v>
      </c>
      <c r="U398" s="2">
        <v>0</v>
      </c>
    </row>
    <row r="399" spans="1:21" x14ac:dyDescent="0.3">
      <c r="A399" s="5" t="s">
        <v>44</v>
      </c>
      <c r="B399" s="5">
        <v>2019</v>
      </c>
      <c r="C399" s="5" t="s">
        <v>45</v>
      </c>
      <c r="D399" s="9">
        <v>690.94207900000004</v>
      </c>
      <c r="E399" s="7">
        <f t="shared" si="6"/>
        <v>607475776.85984969</v>
      </c>
      <c r="F399" s="7">
        <v>33706938.367864102</v>
      </c>
      <c r="G399" s="7"/>
      <c r="H399" s="7"/>
      <c r="I399" s="7">
        <v>33706938.367864102</v>
      </c>
      <c r="J399" s="6">
        <v>5.6169144688987558</v>
      </c>
      <c r="K399" s="7">
        <v>3105.827890154429</v>
      </c>
      <c r="L399" s="7">
        <v>13034346</v>
      </c>
      <c r="M399" s="6">
        <v>29.1689419</v>
      </c>
      <c r="N399" s="6">
        <v>38.1864104</v>
      </c>
      <c r="O399" s="6">
        <v>51.240399199999999</v>
      </c>
      <c r="P399" s="6">
        <v>42.359614899999997</v>
      </c>
      <c r="Q399" s="6">
        <v>38.321837299999999</v>
      </c>
      <c r="R399" s="6">
        <v>42.490132699999997</v>
      </c>
      <c r="S399" s="5">
        <v>0</v>
      </c>
      <c r="T399" s="5">
        <v>0</v>
      </c>
      <c r="U399" s="5">
        <v>0</v>
      </c>
    </row>
    <row r="400" spans="1:21" x14ac:dyDescent="0.3">
      <c r="A400" s="2" t="s">
        <v>44</v>
      </c>
      <c r="B400" s="2">
        <v>2020</v>
      </c>
      <c r="C400" s="2" t="s">
        <v>45</v>
      </c>
      <c r="D400" s="8">
        <v>892.83331699999997</v>
      </c>
      <c r="E400" s="4">
        <f t="shared" si="6"/>
        <v>784978407.50401223</v>
      </c>
      <c r="F400" s="4">
        <v>551270.74437841994</v>
      </c>
      <c r="G400" s="4">
        <v>926974711.98154104</v>
      </c>
      <c r="H400" s="4"/>
      <c r="I400" s="4">
        <v>927525982.72591949</v>
      </c>
      <c r="J400" s="3">
        <v>4.7045909611357501</v>
      </c>
      <c r="K400" s="4">
        <v>3331.8566300380062</v>
      </c>
      <c r="L400" s="4">
        <v>13371183</v>
      </c>
      <c r="M400" s="3">
        <v>30.317768399999999</v>
      </c>
      <c r="N400" s="3">
        <v>35.554629200000001</v>
      </c>
      <c r="O400" s="3">
        <v>47.314183100000001</v>
      </c>
      <c r="P400" s="3">
        <v>41.823990700000003</v>
      </c>
      <c r="Q400" s="3">
        <v>38.0979794</v>
      </c>
      <c r="R400" s="3">
        <v>41.877617299999997</v>
      </c>
      <c r="S400" s="2">
        <v>0</v>
      </c>
      <c r="T400" s="2">
        <v>0</v>
      </c>
      <c r="U400" s="2">
        <v>0</v>
      </c>
    </row>
    <row r="401" spans="1:21" x14ac:dyDescent="0.3">
      <c r="A401" s="5" t="s">
        <v>44</v>
      </c>
      <c r="B401" s="5">
        <v>2021</v>
      </c>
      <c r="C401" s="5" t="s">
        <v>45</v>
      </c>
      <c r="D401" s="9">
        <v>645.94933100000003</v>
      </c>
      <c r="E401" s="7">
        <f t="shared" si="6"/>
        <v>567918185.31191993</v>
      </c>
      <c r="F401" s="7">
        <v>9000000</v>
      </c>
      <c r="G401" s="7">
        <v>0</v>
      </c>
      <c r="H401" s="7"/>
      <c r="I401" s="7">
        <v>9000000</v>
      </c>
      <c r="J401" s="6">
        <v>5.5823328114905024</v>
      </c>
      <c r="K401" s="7">
        <v>3738.8051255133018</v>
      </c>
      <c r="L401" s="7">
        <v>13710513</v>
      </c>
      <c r="M401" s="6">
        <v>27.383343</v>
      </c>
      <c r="N401" s="6">
        <v>35.618160600000003</v>
      </c>
      <c r="O401" s="6">
        <v>48.540669299999998</v>
      </c>
      <c r="P401" s="6">
        <v>40.466807899999999</v>
      </c>
      <c r="Q401" s="6">
        <v>39.701807000000002</v>
      </c>
      <c r="R401" s="6">
        <v>38.781540799999988</v>
      </c>
      <c r="S401" s="5">
        <v>0</v>
      </c>
      <c r="T401" s="5">
        <v>0</v>
      </c>
      <c r="U401" s="5">
        <v>0</v>
      </c>
    </row>
    <row r="402" spans="1:21" x14ac:dyDescent="0.3">
      <c r="A402" s="5" t="s">
        <v>46</v>
      </c>
      <c r="B402" s="5">
        <v>2002</v>
      </c>
      <c r="C402" s="5" t="s">
        <v>47</v>
      </c>
      <c r="D402" s="9">
        <v>89.181955000000002</v>
      </c>
      <c r="E402" s="7">
        <f t="shared" si="6"/>
        <v>78408710.428975284</v>
      </c>
      <c r="F402" s="7">
        <v>17352115.044622421</v>
      </c>
      <c r="G402" s="7"/>
      <c r="H402" s="7"/>
      <c r="I402" s="7">
        <v>17352115.044622421</v>
      </c>
      <c r="J402" s="6">
        <v>3.6539360364271261</v>
      </c>
      <c r="K402" s="7">
        <v>1095.223058334876</v>
      </c>
      <c r="L402" s="7">
        <v>1289307</v>
      </c>
      <c r="M402" s="6">
        <v>25.831754499999999</v>
      </c>
      <c r="N402" s="6">
        <v>32.405813999999999</v>
      </c>
      <c r="O402" s="6">
        <v>56.021952499999998</v>
      </c>
      <c r="P402" s="6">
        <v>40.1521507</v>
      </c>
      <c r="Q402" s="6">
        <v>35.343747100000002</v>
      </c>
      <c r="R402" s="6">
        <v>43.741606099999998</v>
      </c>
      <c r="S402" s="5">
        <v>0</v>
      </c>
      <c r="T402" s="5">
        <v>0</v>
      </c>
      <c r="U402" s="5">
        <v>0</v>
      </c>
    </row>
    <row r="403" spans="1:21" x14ac:dyDescent="0.3">
      <c r="A403" s="2" t="s">
        <v>46</v>
      </c>
      <c r="B403" s="2">
        <v>2003</v>
      </c>
      <c r="C403" s="2" t="s">
        <v>47</v>
      </c>
      <c r="D403" s="8">
        <v>207.09234000000001</v>
      </c>
      <c r="E403" s="4">
        <f t="shared" si="6"/>
        <v>182075435.76633742</v>
      </c>
      <c r="F403" s="4">
        <v>9997791.7610039413</v>
      </c>
      <c r="G403" s="4"/>
      <c r="H403" s="4"/>
      <c r="I403" s="4">
        <v>9997791.7610039413</v>
      </c>
      <c r="J403" s="3">
        <v>-0.28593105228651439</v>
      </c>
      <c r="K403" s="4">
        <v>1088.742656753195</v>
      </c>
      <c r="L403" s="4">
        <v>1318806</v>
      </c>
      <c r="M403" s="3">
        <v>25.421209600000001</v>
      </c>
      <c r="N403" s="3">
        <v>25.6861766</v>
      </c>
      <c r="O403" s="3">
        <v>57.451629500000003</v>
      </c>
      <c r="P403" s="3">
        <v>40.152858799999997</v>
      </c>
      <c r="Q403" s="3">
        <v>33.666436699999998</v>
      </c>
      <c r="R403" s="3">
        <v>38.693023699999998</v>
      </c>
      <c r="S403" s="2">
        <v>0</v>
      </c>
      <c r="T403" s="2">
        <v>0</v>
      </c>
      <c r="U403" s="2">
        <v>0</v>
      </c>
    </row>
    <row r="404" spans="1:21" x14ac:dyDescent="0.3">
      <c r="A404" s="5" t="s">
        <v>46</v>
      </c>
      <c r="B404" s="5">
        <v>2004</v>
      </c>
      <c r="C404" s="5" t="s">
        <v>47</v>
      </c>
      <c r="D404" s="9">
        <v>107.828952</v>
      </c>
      <c r="E404" s="7">
        <f t="shared" si="6"/>
        <v>94803136.724552348</v>
      </c>
      <c r="F404" s="7">
        <v>14444161.531718191</v>
      </c>
      <c r="G404" s="7"/>
      <c r="H404" s="7"/>
      <c r="I404" s="7">
        <v>14444161.531718191</v>
      </c>
      <c r="J404" s="6">
        <v>1.1718915227703799</v>
      </c>
      <c r="K404" s="7">
        <v>1105.343228414408</v>
      </c>
      <c r="L404" s="7">
        <v>1349563</v>
      </c>
      <c r="M404" s="6">
        <v>24.8802749</v>
      </c>
      <c r="N404" s="6">
        <v>21.534429100000001</v>
      </c>
      <c r="O404" s="6">
        <v>57.222722399999988</v>
      </c>
      <c r="P404" s="6">
        <v>31.843766299999999</v>
      </c>
      <c r="Q404" s="6">
        <v>35.367496199999998</v>
      </c>
      <c r="R404" s="6">
        <v>43.855178000000002</v>
      </c>
      <c r="S404" s="5">
        <v>0</v>
      </c>
      <c r="T404" s="5">
        <v>0</v>
      </c>
      <c r="U404" s="5">
        <v>0</v>
      </c>
    </row>
    <row r="405" spans="1:21" x14ac:dyDescent="0.3">
      <c r="A405" s="2" t="s">
        <v>46</v>
      </c>
      <c r="B405" s="2">
        <v>2005</v>
      </c>
      <c r="C405" s="2" t="s">
        <v>47</v>
      </c>
      <c r="D405" s="8">
        <v>129.35175100000001</v>
      </c>
      <c r="E405" s="4">
        <f t="shared" si="6"/>
        <v>113725966.06163113</v>
      </c>
      <c r="F405" s="4">
        <v>5033794.1437898856</v>
      </c>
      <c r="G405" s="4"/>
      <c r="H405" s="4"/>
      <c r="I405" s="4">
        <v>5033794.1437898856</v>
      </c>
      <c r="J405" s="3">
        <v>6.5597711184607732</v>
      </c>
      <c r="K405" s="4">
        <v>1186.626313547368</v>
      </c>
      <c r="L405" s="4">
        <v>1381585</v>
      </c>
      <c r="M405" s="3">
        <v>24.5973589</v>
      </c>
      <c r="N405" s="3">
        <v>23.8192162</v>
      </c>
      <c r="O405" s="3">
        <v>57.3203745</v>
      </c>
      <c r="P405" s="3">
        <v>37.029830500000003</v>
      </c>
      <c r="Q405" s="3">
        <v>37.136857999999997</v>
      </c>
      <c r="R405" s="3">
        <v>48.694672199999999</v>
      </c>
      <c r="S405" s="2">
        <v>0</v>
      </c>
      <c r="T405" s="2">
        <v>0</v>
      </c>
      <c r="U405" s="2">
        <v>0</v>
      </c>
    </row>
    <row r="406" spans="1:21" x14ac:dyDescent="0.3">
      <c r="A406" s="5" t="s">
        <v>46</v>
      </c>
      <c r="B406" s="5">
        <v>2006</v>
      </c>
      <c r="C406" s="5" t="s">
        <v>47</v>
      </c>
      <c r="D406" s="9">
        <v>126.39476000000001</v>
      </c>
      <c r="E406" s="7">
        <f t="shared" si="6"/>
        <v>111126181.70996395</v>
      </c>
      <c r="F406" s="7">
        <v>812779.63410268095</v>
      </c>
      <c r="G406" s="7"/>
      <c r="H406" s="7"/>
      <c r="I406" s="7">
        <v>812779.63410268095</v>
      </c>
      <c r="J406" s="6">
        <v>2.666504932695716</v>
      </c>
      <c r="K406" s="7">
        <v>1225.9182457679219</v>
      </c>
      <c r="L406" s="7">
        <v>1415303</v>
      </c>
      <c r="M406" s="6">
        <v>26.110814399999999</v>
      </c>
      <c r="N406" s="6">
        <v>30.3548258</v>
      </c>
      <c r="O406" s="6">
        <v>58.520737799999999</v>
      </c>
      <c r="P406" s="6">
        <v>38.519762900000003</v>
      </c>
      <c r="Q406" s="6">
        <v>36.9430087</v>
      </c>
      <c r="R406" s="6">
        <v>45.921315399999997</v>
      </c>
      <c r="S406" s="5">
        <v>0</v>
      </c>
      <c r="T406" s="5">
        <v>0</v>
      </c>
      <c r="U406" s="5">
        <v>0</v>
      </c>
    </row>
    <row r="407" spans="1:21" x14ac:dyDescent="0.3">
      <c r="A407" s="2" t="s">
        <v>46</v>
      </c>
      <c r="B407" s="2">
        <v>2007</v>
      </c>
      <c r="C407" s="2" t="s">
        <v>47</v>
      </c>
      <c r="D407" s="8">
        <v>136.644454</v>
      </c>
      <c r="E407" s="4">
        <f t="shared" si="6"/>
        <v>120137705.27245599</v>
      </c>
      <c r="F407" s="4">
        <v>30993222.670579288</v>
      </c>
      <c r="G407" s="4"/>
      <c r="H407" s="4"/>
      <c r="I407" s="4">
        <v>30993222.670579288</v>
      </c>
      <c r="J407" s="3">
        <v>2.5598264707875131</v>
      </c>
      <c r="K407" s="4">
        <v>1259.605606892203</v>
      </c>
      <c r="L407" s="4">
        <v>1450986</v>
      </c>
      <c r="M407" s="3">
        <v>24.8928388</v>
      </c>
      <c r="N407" s="3">
        <v>30.9924632</v>
      </c>
      <c r="O407" s="3">
        <v>59.438515199999998</v>
      </c>
      <c r="P407" s="3">
        <v>37.705978100000003</v>
      </c>
      <c r="Q407" s="3">
        <v>36.164229599999999</v>
      </c>
      <c r="R407" s="3">
        <v>43.956107899999999</v>
      </c>
      <c r="S407" s="2">
        <v>0</v>
      </c>
      <c r="T407" s="2">
        <v>0</v>
      </c>
      <c r="U407" s="2">
        <v>0</v>
      </c>
    </row>
    <row r="408" spans="1:21" x14ac:dyDescent="0.3">
      <c r="A408" s="5" t="s">
        <v>46</v>
      </c>
      <c r="B408" s="5">
        <v>2008</v>
      </c>
      <c r="C408" s="5" t="s">
        <v>47</v>
      </c>
      <c r="D408" s="9">
        <v>143.79481899999999</v>
      </c>
      <c r="E408" s="7">
        <f t="shared" si="6"/>
        <v>126424301.01647706</v>
      </c>
      <c r="F408" s="7">
        <v>46652329.211640902</v>
      </c>
      <c r="G408" s="7"/>
      <c r="H408" s="7"/>
      <c r="I408" s="7">
        <v>46652329.211640902</v>
      </c>
      <c r="J408" s="6">
        <v>4.5245751461025208</v>
      </c>
      <c r="K408" s="7">
        <v>1308.5355669971671</v>
      </c>
      <c r="L408" s="7">
        <v>1488054</v>
      </c>
      <c r="M408" s="6">
        <v>25.129893500000001</v>
      </c>
      <c r="N408" s="6">
        <v>32.082389999999997</v>
      </c>
      <c r="O408" s="6">
        <v>55.179177099999997</v>
      </c>
      <c r="P408" s="6">
        <v>37.1840592</v>
      </c>
      <c r="Q408" s="6">
        <v>34.820073600000001</v>
      </c>
      <c r="R408" s="6">
        <v>42.790767700000004</v>
      </c>
      <c r="S408" s="5">
        <v>0</v>
      </c>
      <c r="T408" s="5">
        <v>0</v>
      </c>
      <c r="U408" s="5">
        <v>0</v>
      </c>
    </row>
    <row r="409" spans="1:21" x14ac:dyDescent="0.3">
      <c r="A409" s="2" t="s">
        <v>46</v>
      </c>
      <c r="B409" s="2">
        <v>2009</v>
      </c>
      <c r="C409" s="2" t="s">
        <v>47</v>
      </c>
      <c r="D409" s="8">
        <v>165.00738899999999</v>
      </c>
      <c r="E409" s="4">
        <f t="shared" si="6"/>
        <v>145074377.24080259</v>
      </c>
      <c r="F409" s="4">
        <v>13622750.494636839</v>
      </c>
      <c r="G409" s="4"/>
      <c r="H409" s="4"/>
      <c r="I409" s="4">
        <v>13622750.494636839</v>
      </c>
      <c r="J409" s="3">
        <v>2.4479510609868531</v>
      </c>
      <c r="K409" s="4">
        <v>1314.9707866195549</v>
      </c>
      <c r="L409" s="4">
        <v>1526377</v>
      </c>
      <c r="M409" s="3">
        <v>25.129559499999999</v>
      </c>
      <c r="N409" s="3">
        <v>32.851165700000003</v>
      </c>
      <c r="O409" s="3">
        <v>57.319180499999987</v>
      </c>
      <c r="P409" s="3">
        <v>37.266874899999998</v>
      </c>
      <c r="Q409" s="3">
        <v>34.307674800000001</v>
      </c>
      <c r="R409" s="3">
        <v>43.265335399999998</v>
      </c>
      <c r="S409" s="2">
        <v>0</v>
      </c>
      <c r="T409" s="2">
        <v>0</v>
      </c>
      <c r="U409" s="2">
        <v>0</v>
      </c>
    </row>
    <row r="410" spans="1:21" x14ac:dyDescent="0.3">
      <c r="A410" s="5" t="s">
        <v>46</v>
      </c>
      <c r="B410" s="5">
        <v>2010</v>
      </c>
      <c r="C410" s="5" t="s">
        <v>47</v>
      </c>
      <c r="D410" s="9">
        <v>310.05882100000002</v>
      </c>
      <c r="E410" s="7">
        <f t="shared" si="6"/>
        <v>272603491.49935633</v>
      </c>
      <c r="F410" s="7">
        <v>3111508.4415812199</v>
      </c>
      <c r="G410" s="7"/>
      <c r="H410" s="7"/>
      <c r="I410" s="7">
        <v>3111508.4415812199</v>
      </c>
      <c r="J410" s="6">
        <v>5.6053631135826123</v>
      </c>
      <c r="K410" s="7">
        <v>1369.689170661208</v>
      </c>
      <c r="L410" s="7">
        <v>1566347</v>
      </c>
      <c r="M410" s="6">
        <v>25.135281800000001</v>
      </c>
      <c r="N410" s="6">
        <v>32.668885799999998</v>
      </c>
      <c r="O410" s="6">
        <v>56.239081900000002</v>
      </c>
      <c r="P410" s="6">
        <v>37.820393500000002</v>
      </c>
      <c r="Q410" s="6">
        <v>34.3150531</v>
      </c>
      <c r="R410" s="6">
        <v>42.584224300000002</v>
      </c>
      <c r="S410" s="5">
        <v>0</v>
      </c>
      <c r="T410" s="5">
        <v>0</v>
      </c>
      <c r="U410" s="5">
        <v>0</v>
      </c>
    </row>
    <row r="411" spans="1:21" x14ac:dyDescent="0.3">
      <c r="A411" s="2" t="s">
        <v>46</v>
      </c>
      <c r="B411" s="2">
        <v>2011</v>
      </c>
      <c r="C411" s="2" t="s">
        <v>47</v>
      </c>
      <c r="D411" s="8">
        <v>123.49572000000001</v>
      </c>
      <c r="E411" s="4">
        <f t="shared" si="6"/>
        <v>108577347.83564468</v>
      </c>
      <c r="F411" s="4">
        <v>855808.33077708597</v>
      </c>
      <c r="G411" s="4"/>
      <c r="H411" s="4"/>
      <c r="I411" s="4">
        <v>855808.33077708597</v>
      </c>
      <c r="J411" s="3">
        <v>8.0850416717355387</v>
      </c>
      <c r="K411" s="4">
        <v>1471.7627987907169</v>
      </c>
      <c r="L411" s="4">
        <v>1608076</v>
      </c>
      <c r="M411" s="3">
        <v>25.1063343</v>
      </c>
      <c r="N411" s="3">
        <v>31.6698229</v>
      </c>
      <c r="O411" s="3">
        <v>54.991354700000002</v>
      </c>
      <c r="P411" s="3">
        <v>36.962713600000001</v>
      </c>
      <c r="Q411" s="3">
        <v>34.145109400000003</v>
      </c>
      <c r="R411" s="3">
        <v>41.901103900000003</v>
      </c>
      <c r="S411" s="2">
        <v>0</v>
      </c>
      <c r="T411" s="2">
        <v>0</v>
      </c>
      <c r="U411" s="2">
        <v>0</v>
      </c>
    </row>
    <row r="412" spans="1:21" x14ac:dyDescent="0.3">
      <c r="A412" s="5" t="s">
        <v>46</v>
      </c>
      <c r="B412" s="5">
        <v>2012</v>
      </c>
      <c r="C412" s="5" t="s">
        <v>47</v>
      </c>
      <c r="D412" s="9">
        <v>88.058173999999994</v>
      </c>
      <c r="E412" s="7">
        <f t="shared" si="6"/>
        <v>77420682.985367611</v>
      </c>
      <c r="F412" s="7">
        <v>0</v>
      </c>
      <c r="G412" s="7"/>
      <c r="H412" s="7"/>
      <c r="I412" s="7">
        <v>0</v>
      </c>
      <c r="J412" s="6">
        <v>-1.712869584464187</v>
      </c>
      <c r="K412" s="7">
        <v>1401.849940441482</v>
      </c>
      <c r="L412" s="7">
        <v>1651417</v>
      </c>
      <c r="M412" s="6">
        <v>20.6607691</v>
      </c>
      <c r="N412" s="6">
        <v>27.752760899999998</v>
      </c>
      <c r="O412" s="6">
        <v>48.1502318</v>
      </c>
      <c r="P412" s="6">
        <v>33.911995699999999</v>
      </c>
      <c r="Q412" s="6">
        <v>30.025187200000001</v>
      </c>
      <c r="R412" s="6">
        <v>36.090300300000003</v>
      </c>
      <c r="S412" s="5">
        <v>0</v>
      </c>
      <c r="T412" s="5">
        <v>0</v>
      </c>
      <c r="U412" s="5">
        <v>0</v>
      </c>
    </row>
    <row r="413" spans="1:21" x14ac:dyDescent="0.3">
      <c r="A413" s="2" t="s">
        <v>46</v>
      </c>
      <c r="B413" s="2">
        <v>2013</v>
      </c>
      <c r="C413" s="2" t="s">
        <v>47</v>
      </c>
      <c r="D413" s="8">
        <v>114.21561199999999</v>
      </c>
      <c r="E413" s="4">
        <f t="shared" si="6"/>
        <v>100418283.5841196</v>
      </c>
      <c r="F413" s="4">
        <v>9494773.902706001</v>
      </c>
      <c r="G413" s="4"/>
      <c r="H413" s="4"/>
      <c r="I413" s="4">
        <v>9494773.902706001</v>
      </c>
      <c r="J413" s="3">
        <v>3.256071908520866</v>
      </c>
      <c r="K413" s="4">
        <v>1415.825119353786</v>
      </c>
      <c r="L413" s="4">
        <v>1695973</v>
      </c>
      <c r="M413" s="3">
        <v>18.940807499999998</v>
      </c>
      <c r="N413" s="3">
        <v>23.868117900000001</v>
      </c>
      <c r="O413" s="3">
        <v>49.481691299999987</v>
      </c>
      <c r="P413" s="3">
        <v>33.194008099999998</v>
      </c>
      <c r="Q413" s="3">
        <v>29.4138269</v>
      </c>
      <c r="R413" s="3">
        <v>36.294778399999998</v>
      </c>
      <c r="S413" s="2">
        <v>0</v>
      </c>
      <c r="T413" s="2">
        <v>0</v>
      </c>
      <c r="U413" s="2">
        <v>0</v>
      </c>
    </row>
    <row r="414" spans="1:21" x14ac:dyDescent="0.3">
      <c r="A414" s="5" t="s">
        <v>46</v>
      </c>
      <c r="B414" s="5">
        <v>2014</v>
      </c>
      <c r="C414" s="5" t="s">
        <v>47</v>
      </c>
      <c r="D414" s="9">
        <v>119.84845799999999</v>
      </c>
      <c r="E414" s="7">
        <f t="shared" si="6"/>
        <v>105370677.71928979</v>
      </c>
      <c r="F414" s="7">
        <v>179679.27365801399</v>
      </c>
      <c r="G414" s="7"/>
      <c r="H414" s="7"/>
      <c r="I414" s="7">
        <v>179679.27365801399</v>
      </c>
      <c r="J414" s="6">
        <v>0.96452574584142781</v>
      </c>
      <c r="K414" s="7">
        <v>1455.908136651929</v>
      </c>
      <c r="L414" s="7">
        <v>1741122</v>
      </c>
      <c r="M414" s="6">
        <v>15.7211242</v>
      </c>
      <c r="N414" s="6">
        <v>23.096458599999998</v>
      </c>
      <c r="O414" s="6">
        <v>50.837177799999999</v>
      </c>
      <c r="P414" s="6">
        <v>34.788392999999999</v>
      </c>
      <c r="Q414" s="6">
        <v>32.712332099999998</v>
      </c>
      <c r="R414" s="6">
        <v>40.665715200000001</v>
      </c>
      <c r="S414" s="5">
        <v>0</v>
      </c>
      <c r="T414" s="5">
        <v>0</v>
      </c>
      <c r="U414" s="5">
        <v>0</v>
      </c>
    </row>
    <row r="415" spans="1:21" x14ac:dyDescent="0.3">
      <c r="A415" s="2" t="s">
        <v>46</v>
      </c>
      <c r="B415" s="2">
        <v>2015</v>
      </c>
      <c r="C415" s="2" t="s">
        <v>47</v>
      </c>
      <c r="D415" s="8">
        <v>119.48323600000001</v>
      </c>
      <c r="E415" s="4">
        <f t="shared" si="6"/>
        <v>105049574.80065238</v>
      </c>
      <c r="F415" s="4">
        <v>7203051.5794567568</v>
      </c>
      <c r="G415" s="4"/>
      <c r="H415" s="4"/>
      <c r="I415" s="4">
        <v>7203051.5794567568</v>
      </c>
      <c r="J415" s="3">
        <v>6.1340893623122952</v>
      </c>
      <c r="K415" s="4">
        <v>1729.9426031012331</v>
      </c>
      <c r="L415" s="4">
        <v>1786457</v>
      </c>
      <c r="M415" s="3">
        <v>16.460844999999999</v>
      </c>
      <c r="N415" s="3">
        <v>24.2100157</v>
      </c>
      <c r="O415" s="3">
        <v>55.857769299999987</v>
      </c>
      <c r="P415" s="3">
        <v>34.4338342</v>
      </c>
      <c r="Q415" s="3">
        <v>34.549347500000003</v>
      </c>
      <c r="R415" s="3">
        <v>41.537816999999997</v>
      </c>
      <c r="S415" s="2">
        <v>0</v>
      </c>
      <c r="T415" s="2">
        <v>0</v>
      </c>
      <c r="U415" s="2">
        <v>0</v>
      </c>
    </row>
    <row r="416" spans="1:21" x14ac:dyDescent="0.3">
      <c r="A416" s="5" t="s">
        <v>46</v>
      </c>
      <c r="B416" s="5">
        <v>2016</v>
      </c>
      <c r="C416" s="5" t="s">
        <v>47</v>
      </c>
      <c r="D416" s="9">
        <v>238.46031400000001</v>
      </c>
      <c r="E416" s="7">
        <f t="shared" si="6"/>
        <v>209654135.85325104</v>
      </c>
      <c r="F416" s="7">
        <v>35438304.904854298</v>
      </c>
      <c r="G416" s="7"/>
      <c r="H416" s="7">
        <v>0</v>
      </c>
      <c r="I416" s="7">
        <v>35438304.904854298</v>
      </c>
      <c r="J416" s="6">
        <v>5.432678265030404</v>
      </c>
      <c r="K416" s="7">
        <v>1824.3730977070991</v>
      </c>
      <c r="L416" s="7">
        <v>1831893</v>
      </c>
      <c r="M416" s="6">
        <v>15.9115991</v>
      </c>
      <c r="N416" s="6">
        <v>23.324988099999999</v>
      </c>
      <c r="O416" s="6">
        <v>57.209221100000001</v>
      </c>
      <c r="P416" s="6">
        <v>34.962197199999999</v>
      </c>
      <c r="Q416" s="6">
        <v>33.428410999999997</v>
      </c>
      <c r="R416" s="6">
        <v>41.087843700000001</v>
      </c>
      <c r="S416" s="5">
        <v>0</v>
      </c>
      <c r="T416" s="5">
        <v>0</v>
      </c>
      <c r="U416" s="5">
        <v>0</v>
      </c>
    </row>
    <row r="417" spans="1:21" x14ac:dyDescent="0.3">
      <c r="A417" s="2" t="s">
        <v>46</v>
      </c>
      <c r="B417" s="2">
        <v>2017</v>
      </c>
      <c r="C417" s="2" t="s">
        <v>47</v>
      </c>
      <c r="D417" s="8">
        <v>141.63809900000001</v>
      </c>
      <c r="E417" s="4">
        <f t="shared" si="6"/>
        <v>124528114.35005583</v>
      </c>
      <c r="F417" s="4">
        <v>27114053.923027899</v>
      </c>
      <c r="G417" s="4"/>
      <c r="H417" s="4"/>
      <c r="I417" s="4">
        <v>27114053.923027899</v>
      </c>
      <c r="J417" s="3">
        <v>4.6636794391326362</v>
      </c>
      <c r="K417" s="4">
        <v>2081.8128722768502</v>
      </c>
      <c r="L417" s="4">
        <v>1877072</v>
      </c>
      <c r="M417" s="3">
        <v>14.1658902</v>
      </c>
      <c r="N417" s="3">
        <v>21.346164300000002</v>
      </c>
      <c r="O417" s="3">
        <v>55.952262999999988</v>
      </c>
      <c r="P417" s="3">
        <v>35.464783500000003</v>
      </c>
      <c r="Q417" s="3">
        <v>34.118126500000002</v>
      </c>
      <c r="R417" s="3">
        <v>40.392597599999988</v>
      </c>
      <c r="S417" s="2">
        <v>0</v>
      </c>
      <c r="T417" s="2">
        <v>0</v>
      </c>
      <c r="U417" s="2">
        <v>0</v>
      </c>
    </row>
    <row r="418" spans="1:21" x14ac:dyDescent="0.3">
      <c r="A418" s="5" t="s">
        <v>46</v>
      </c>
      <c r="B418" s="5">
        <v>2018</v>
      </c>
      <c r="C418" s="5" t="s">
        <v>47</v>
      </c>
      <c r="D418" s="9">
        <v>178.57087899999999</v>
      </c>
      <c r="E418" s="7">
        <f t="shared" si="6"/>
        <v>156999387.85327795</v>
      </c>
      <c r="F418" s="7">
        <v>36509966.553935528</v>
      </c>
      <c r="G418" s="7"/>
      <c r="H418" s="7"/>
      <c r="I418" s="7">
        <v>36509966.553935528</v>
      </c>
      <c r="J418" s="6">
        <v>3.761453596370032</v>
      </c>
      <c r="K418" s="7">
        <v>2057.9696912914569</v>
      </c>
      <c r="L418" s="7">
        <v>1922168</v>
      </c>
      <c r="M418" s="6">
        <v>15.545150400000001</v>
      </c>
      <c r="N418" s="6">
        <v>27.320444500000001</v>
      </c>
      <c r="O418" s="6">
        <v>54.802191299999997</v>
      </c>
      <c r="P418" s="6">
        <v>35.110677299999999</v>
      </c>
      <c r="Q418" s="6">
        <v>37.449048099999999</v>
      </c>
      <c r="R418" s="6">
        <v>42.692934000000001</v>
      </c>
      <c r="S418" s="5">
        <v>0</v>
      </c>
      <c r="T418" s="5">
        <v>0</v>
      </c>
      <c r="U418" s="5">
        <v>0</v>
      </c>
    </row>
    <row r="419" spans="1:21" x14ac:dyDescent="0.3">
      <c r="A419" s="2" t="s">
        <v>46</v>
      </c>
      <c r="B419" s="2">
        <v>2019</v>
      </c>
      <c r="C419" s="2" t="s">
        <v>47</v>
      </c>
      <c r="D419" s="8">
        <v>142.56775200000001</v>
      </c>
      <c r="E419" s="4">
        <f t="shared" si="6"/>
        <v>125345464.59626235</v>
      </c>
      <c r="F419" s="4">
        <v>7035660.6624219203</v>
      </c>
      <c r="G419" s="4">
        <v>752788.29021563299</v>
      </c>
      <c r="H419" s="4"/>
      <c r="I419" s="4">
        <v>7788448.9526375532</v>
      </c>
      <c r="J419" s="3">
        <v>5.3274957111934356</v>
      </c>
      <c r="K419" s="4">
        <v>2247.313037391848</v>
      </c>
      <c r="L419" s="4">
        <v>1967696</v>
      </c>
      <c r="M419" s="3">
        <v>16.9242992</v>
      </c>
      <c r="N419" s="3">
        <v>26.443756400000002</v>
      </c>
      <c r="O419" s="3">
        <v>57.971379900000002</v>
      </c>
      <c r="P419" s="3">
        <v>35.117282400000001</v>
      </c>
      <c r="Q419" s="3">
        <v>37.276920500000003</v>
      </c>
      <c r="R419" s="3">
        <v>45.763821</v>
      </c>
      <c r="S419" s="2">
        <v>0</v>
      </c>
      <c r="T419" s="2">
        <v>0</v>
      </c>
      <c r="U419" s="2">
        <v>0</v>
      </c>
    </row>
    <row r="420" spans="1:21" x14ac:dyDescent="0.3">
      <c r="A420" s="5" t="s">
        <v>46</v>
      </c>
      <c r="B420" s="5">
        <v>2020</v>
      </c>
      <c r="C420" s="5" t="s">
        <v>47</v>
      </c>
      <c r="D420" s="9">
        <v>174.54085699999999</v>
      </c>
      <c r="E420" s="7">
        <f t="shared" si="6"/>
        <v>153456195.42135155</v>
      </c>
      <c r="F420" s="7">
        <v>334336.32503469108</v>
      </c>
      <c r="G420" s="7"/>
      <c r="H420" s="7"/>
      <c r="I420" s="7">
        <v>334336.32503469108</v>
      </c>
      <c r="J420" s="6">
        <v>2.8913981495299481</v>
      </c>
      <c r="K420" s="7">
        <v>2339.793269678215</v>
      </c>
      <c r="L420" s="7">
        <v>2013255</v>
      </c>
      <c r="M420" s="6">
        <v>21.554866000000001</v>
      </c>
      <c r="N420" s="6">
        <v>26.429103399999999</v>
      </c>
      <c r="O420" s="6">
        <v>61.045263400000003</v>
      </c>
      <c r="P420" s="6">
        <v>34.494199299999998</v>
      </c>
      <c r="Q420" s="6">
        <v>37.4565658</v>
      </c>
      <c r="R420" s="6">
        <v>47.8576367</v>
      </c>
      <c r="S420" s="5">
        <v>0</v>
      </c>
      <c r="T420" s="5">
        <v>0</v>
      </c>
      <c r="U420" s="5">
        <v>0</v>
      </c>
    </row>
    <row r="421" spans="1:21" x14ac:dyDescent="0.3">
      <c r="A421" s="2" t="s">
        <v>46</v>
      </c>
      <c r="B421" s="2">
        <v>2021</v>
      </c>
      <c r="C421" s="2" t="s">
        <v>47</v>
      </c>
      <c r="D421" s="8">
        <v>185.87751900000001</v>
      </c>
      <c r="E421" s="4">
        <f t="shared" si="6"/>
        <v>163423380.46443757</v>
      </c>
      <c r="F421" s="4">
        <v>14700000</v>
      </c>
      <c r="G421" s="4"/>
      <c r="H421" s="4"/>
      <c r="I421" s="4">
        <v>14700000</v>
      </c>
      <c r="J421" s="3">
        <v>5.0505583124440108</v>
      </c>
      <c r="K421" s="4">
        <v>2522.7676430252068</v>
      </c>
      <c r="L421" s="4">
        <v>2058841</v>
      </c>
      <c r="M421" s="3">
        <v>23.224474799999999</v>
      </c>
      <c r="N421" s="3">
        <v>24.430670299999999</v>
      </c>
      <c r="O421" s="3">
        <v>60.766724000000004</v>
      </c>
      <c r="P421" s="3">
        <v>34.179029499999999</v>
      </c>
      <c r="Q421" s="3">
        <v>36.283523799999998</v>
      </c>
      <c r="R421" s="3">
        <v>47.610090300000003</v>
      </c>
      <c r="S421" s="2">
        <v>0</v>
      </c>
      <c r="T421" s="2">
        <v>0</v>
      </c>
      <c r="U421" s="2">
        <v>0</v>
      </c>
    </row>
    <row r="422" spans="1:21" x14ac:dyDescent="0.3">
      <c r="A422" s="2" t="s">
        <v>48</v>
      </c>
      <c r="B422" s="2">
        <v>2002</v>
      </c>
      <c r="C422" s="2" t="s">
        <v>49</v>
      </c>
      <c r="D422" s="8">
        <v>602.50193899999999</v>
      </c>
      <c r="E422" s="4">
        <f t="shared" si="6"/>
        <v>529719269.64313716</v>
      </c>
      <c r="F422" s="4">
        <v>25339464.11575032</v>
      </c>
      <c r="G422" s="4"/>
      <c r="H422" s="4"/>
      <c r="I422" s="4">
        <v>25339464.11575032</v>
      </c>
      <c r="J422" s="3">
        <v>0.54685953017559541</v>
      </c>
      <c r="K422" s="4">
        <v>1940.4030326056011</v>
      </c>
      <c r="L422" s="4">
        <v>32629808</v>
      </c>
      <c r="M422" s="3">
        <v>28.157982499999999</v>
      </c>
      <c r="N422" s="3">
        <v>32.118830000000003</v>
      </c>
      <c r="O422" s="3">
        <v>44.832091599999998</v>
      </c>
      <c r="P422" s="3">
        <v>51.359165999999988</v>
      </c>
      <c r="Q422" s="3">
        <v>40.403005499999999</v>
      </c>
      <c r="R422" s="3">
        <v>41.190443299999998</v>
      </c>
      <c r="S422" s="2">
        <v>0</v>
      </c>
      <c r="T422" s="2">
        <v>0</v>
      </c>
      <c r="U422" s="2">
        <v>0</v>
      </c>
    </row>
    <row r="423" spans="1:21" x14ac:dyDescent="0.3">
      <c r="A423" s="5" t="s">
        <v>48</v>
      </c>
      <c r="B423" s="5">
        <v>2003</v>
      </c>
      <c r="C423" s="5" t="s">
        <v>49</v>
      </c>
      <c r="D423" s="9">
        <v>868.93372999999997</v>
      </c>
      <c r="E423" s="7">
        <f t="shared" si="6"/>
        <v>763965907.87384486</v>
      </c>
      <c r="F423" s="7">
        <v>1082749.6741465479</v>
      </c>
      <c r="G423" s="7">
        <v>0</v>
      </c>
      <c r="H423" s="7"/>
      <c r="I423" s="7">
        <v>1082749.6741465479</v>
      </c>
      <c r="J423" s="6">
        <v>2.932475545709039</v>
      </c>
      <c r="K423" s="7">
        <v>1974.8582021244031</v>
      </c>
      <c r="L423" s="7">
        <v>33652223</v>
      </c>
      <c r="M423" s="6">
        <v>32.6207207</v>
      </c>
      <c r="N423" s="6">
        <v>29.868816599999999</v>
      </c>
      <c r="O423" s="6">
        <v>44.882342299999998</v>
      </c>
      <c r="P423" s="6">
        <v>50.767406600000001</v>
      </c>
      <c r="Q423" s="6">
        <v>41.2663236</v>
      </c>
      <c r="R423" s="6">
        <v>48.319742699999999</v>
      </c>
      <c r="S423" s="5">
        <v>0</v>
      </c>
      <c r="T423" s="5">
        <v>0</v>
      </c>
      <c r="U423" s="5">
        <v>0</v>
      </c>
    </row>
    <row r="424" spans="1:21" x14ac:dyDescent="0.3">
      <c r="A424" s="2" t="s">
        <v>48</v>
      </c>
      <c r="B424" s="2">
        <v>2004</v>
      </c>
      <c r="C424" s="2" t="s">
        <v>49</v>
      </c>
      <c r="D424" s="8">
        <v>904.22940300000005</v>
      </c>
      <c r="E424" s="4">
        <f t="shared" si="6"/>
        <v>794997838.08498251</v>
      </c>
      <c r="F424" s="4">
        <v>7728388.1494072136</v>
      </c>
      <c r="G424" s="4">
        <v>0</v>
      </c>
      <c r="H424" s="4"/>
      <c r="I424" s="4">
        <v>7728388.1494072136</v>
      </c>
      <c r="J424" s="3">
        <v>5.1042997762973812</v>
      </c>
      <c r="K424" s="4">
        <v>2066.3154063863171</v>
      </c>
      <c r="L424" s="4">
        <v>34713455</v>
      </c>
      <c r="M424" s="3">
        <v>29.744014</v>
      </c>
      <c r="N424" s="3">
        <v>37.3109064</v>
      </c>
      <c r="O424" s="3">
        <v>49.809608500000003</v>
      </c>
      <c r="P424" s="3">
        <v>48.582419799999997</v>
      </c>
      <c r="Q424" s="3">
        <v>44.409385299999997</v>
      </c>
      <c r="R424" s="3">
        <v>52.286086699999998</v>
      </c>
      <c r="S424" s="2">
        <v>0</v>
      </c>
      <c r="T424" s="2">
        <v>0</v>
      </c>
      <c r="U424" s="2">
        <v>0</v>
      </c>
    </row>
    <row r="425" spans="1:21" x14ac:dyDescent="0.3">
      <c r="A425" s="5" t="s">
        <v>48</v>
      </c>
      <c r="B425" s="5">
        <v>2005</v>
      </c>
      <c r="C425" s="5" t="s">
        <v>49</v>
      </c>
      <c r="D425" s="9">
        <v>1027.86203</v>
      </c>
      <c r="E425" s="7">
        <f t="shared" si="6"/>
        <v>903695554.45615315</v>
      </c>
      <c r="F425" s="7">
        <v>6428194.8214215683</v>
      </c>
      <c r="G425" s="7">
        <v>0</v>
      </c>
      <c r="H425" s="7"/>
      <c r="I425" s="7">
        <v>6428194.8214215683</v>
      </c>
      <c r="J425" s="6">
        <v>5.9066660798005728</v>
      </c>
      <c r="K425" s="7">
        <v>2188.6956101774972</v>
      </c>
      <c r="L425" s="7">
        <v>35796484</v>
      </c>
      <c r="M425" s="6">
        <v>26.681324100000001</v>
      </c>
      <c r="N425" s="6">
        <v>37.283223999999997</v>
      </c>
      <c r="O425" s="6">
        <v>47.154682000000001</v>
      </c>
      <c r="P425" s="6">
        <v>49.025823799999998</v>
      </c>
      <c r="Q425" s="6">
        <v>44.262545299999999</v>
      </c>
      <c r="R425" s="6">
        <v>53.2472499</v>
      </c>
      <c r="S425" s="5">
        <v>0</v>
      </c>
      <c r="T425" s="5">
        <v>0</v>
      </c>
      <c r="U425" s="5">
        <v>0</v>
      </c>
    </row>
    <row r="426" spans="1:21" x14ac:dyDescent="0.3">
      <c r="A426" s="2" t="s">
        <v>48</v>
      </c>
      <c r="B426" s="2">
        <v>2006</v>
      </c>
      <c r="C426" s="2" t="s">
        <v>49</v>
      </c>
      <c r="D426" s="8">
        <v>1270.1069399999999</v>
      </c>
      <c r="E426" s="4">
        <f t="shared" si="6"/>
        <v>1116677104.3793766</v>
      </c>
      <c r="F426" s="4">
        <v>127480242.45728619</v>
      </c>
      <c r="G426" s="4"/>
      <c r="H426" s="4"/>
      <c r="I426" s="4">
        <v>127480242.45728619</v>
      </c>
      <c r="J426" s="3">
        <v>6.4724943001548354</v>
      </c>
      <c r="K426" s="4">
        <v>2330.130289411652</v>
      </c>
      <c r="L426" s="4">
        <v>36904008</v>
      </c>
      <c r="M426" s="3">
        <v>28.698542799999998</v>
      </c>
      <c r="N426" s="3">
        <v>38.3677025</v>
      </c>
      <c r="O426" s="3">
        <v>48.1822564</v>
      </c>
      <c r="P426" s="3">
        <v>49.588593799999998</v>
      </c>
      <c r="Q426" s="3">
        <v>43.657986600000001</v>
      </c>
      <c r="R426" s="3">
        <v>54.292452999999988</v>
      </c>
      <c r="S426" s="2">
        <v>0</v>
      </c>
      <c r="T426" s="2">
        <v>0</v>
      </c>
      <c r="U426" s="2">
        <v>0</v>
      </c>
    </row>
    <row r="427" spans="1:21" x14ac:dyDescent="0.3">
      <c r="A427" s="5" t="s">
        <v>48</v>
      </c>
      <c r="B427" s="5">
        <v>2007</v>
      </c>
      <c r="C427" s="5" t="s">
        <v>49</v>
      </c>
      <c r="D427" s="9">
        <v>1696.78991</v>
      </c>
      <c r="E427" s="7">
        <f t="shared" si="6"/>
        <v>1491816463.4538121</v>
      </c>
      <c r="F427" s="7">
        <v>259733430.78504199</v>
      </c>
      <c r="G427" s="7">
        <v>0</v>
      </c>
      <c r="H427" s="7">
        <v>66572782.166711599</v>
      </c>
      <c r="I427" s="7">
        <v>326306212.95175362</v>
      </c>
      <c r="J427" s="6">
        <v>6.8507297699878356</v>
      </c>
      <c r="K427" s="7">
        <v>2481.0870614699611</v>
      </c>
      <c r="L427" s="7">
        <v>38036349</v>
      </c>
      <c r="M427" s="6">
        <v>28.402182499999999</v>
      </c>
      <c r="N427" s="6">
        <v>41.152982600000001</v>
      </c>
      <c r="O427" s="6">
        <v>41.300802099999999</v>
      </c>
      <c r="P427" s="6">
        <v>49.837801200000001</v>
      </c>
      <c r="Q427" s="6">
        <v>42.120363500000003</v>
      </c>
      <c r="R427" s="6">
        <v>52.1044494</v>
      </c>
      <c r="S427" s="5">
        <v>0</v>
      </c>
      <c r="T427" s="5">
        <v>0</v>
      </c>
      <c r="U427" s="5">
        <v>0</v>
      </c>
    </row>
    <row r="428" spans="1:21" x14ac:dyDescent="0.3">
      <c r="A428" s="2" t="s">
        <v>48</v>
      </c>
      <c r="B428" s="2">
        <v>2008</v>
      </c>
      <c r="C428" s="2" t="s">
        <v>49</v>
      </c>
      <c r="D428" s="8">
        <v>1738.0348650000001</v>
      </c>
      <c r="E428" s="4">
        <f t="shared" si="6"/>
        <v>1528078998.1027904</v>
      </c>
      <c r="F428" s="4">
        <v>30752006.23163138</v>
      </c>
      <c r="G428" s="4">
        <v>238983855.41488531</v>
      </c>
      <c r="H428" s="4"/>
      <c r="I428" s="4">
        <v>269735861.64651668</v>
      </c>
      <c r="J428" s="3">
        <v>0.2322827448129772</v>
      </c>
      <c r="K428" s="4">
        <v>2459.1217452421288</v>
      </c>
      <c r="L428" s="4">
        <v>39206351</v>
      </c>
      <c r="M428" s="3">
        <v>26.5740278</v>
      </c>
      <c r="N428" s="3">
        <v>39.3043482</v>
      </c>
      <c r="O428" s="3">
        <v>38.201972599999998</v>
      </c>
      <c r="P428" s="3">
        <v>49.147792099999997</v>
      </c>
      <c r="Q428" s="3">
        <v>41.261082999999999</v>
      </c>
      <c r="R428" s="3">
        <v>50.360602900000004</v>
      </c>
      <c r="S428" s="2">
        <v>0</v>
      </c>
      <c r="T428" s="2">
        <v>0</v>
      </c>
      <c r="U428" s="2">
        <v>0</v>
      </c>
    </row>
    <row r="429" spans="1:21" x14ac:dyDescent="0.3">
      <c r="A429" s="5" t="s">
        <v>48</v>
      </c>
      <c r="B429" s="5">
        <v>2009</v>
      </c>
      <c r="C429" s="5" t="s">
        <v>49</v>
      </c>
      <c r="D429" s="9">
        <v>2300.1839239999999</v>
      </c>
      <c r="E429" s="7">
        <f t="shared" si="6"/>
        <v>2022320044.7926946</v>
      </c>
      <c r="F429" s="7">
        <v>281659892.96805573</v>
      </c>
      <c r="G429" s="7"/>
      <c r="H429" s="7"/>
      <c r="I429" s="7">
        <v>281659892.96805573</v>
      </c>
      <c r="J429" s="6">
        <v>3.3069398163108872</v>
      </c>
      <c r="K429" s="7">
        <v>2480.044290680105</v>
      </c>
      <c r="L429" s="7">
        <v>40408891</v>
      </c>
      <c r="M429" s="6">
        <v>25.417371800000002</v>
      </c>
      <c r="N429" s="6">
        <v>39.622057599999998</v>
      </c>
      <c r="O429" s="6">
        <v>39.392425199999998</v>
      </c>
      <c r="P429" s="6">
        <v>48.652298199999997</v>
      </c>
      <c r="Q429" s="6">
        <v>40.515050600000002</v>
      </c>
      <c r="R429" s="6">
        <v>49.617419200000001</v>
      </c>
      <c r="S429" s="5">
        <v>0</v>
      </c>
      <c r="T429" s="5">
        <v>0</v>
      </c>
      <c r="U429" s="5">
        <v>0</v>
      </c>
    </row>
    <row r="430" spans="1:21" x14ac:dyDescent="0.3">
      <c r="A430" s="2" t="s">
        <v>48</v>
      </c>
      <c r="B430" s="2">
        <v>2010</v>
      </c>
      <c r="C430" s="2" t="s">
        <v>49</v>
      </c>
      <c r="D430" s="8">
        <v>2169.4501369999998</v>
      </c>
      <c r="E430" s="4">
        <f t="shared" si="6"/>
        <v>1907378993.6779668</v>
      </c>
      <c r="F430" s="4">
        <v>153100313.44649389</v>
      </c>
      <c r="G430" s="4">
        <v>75785460.341252699</v>
      </c>
      <c r="H430" s="4"/>
      <c r="I430" s="4">
        <v>228885773.78774661</v>
      </c>
      <c r="J430" s="3">
        <v>8.0584736029090607</v>
      </c>
      <c r="K430" s="4">
        <v>2634.8927132382551</v>
      </c>
      <c r="L430" s="4">
        <v>41598567</v>
      </c>
      <c r="M430" s="3">
        <v>30.561138499999998</v>
      </c>
      <c r="N430" s="3">
        <v>41.5896233</v>
      </c>
      <c r="O430" s="3">
        <v>42.275058000000001</v>
      </c>
      <c r="P430" s="3">
        <v>49.301156499999998</v>
      </c>
      <c r="Q430" s="3">
        <v>41.872407099999997</v>
      </c>
      <c r="R430" s="3">
        <v>51.246522900000002</v>
      </c>
      <c r="S430" s="2">
        <v>0</v>
      </c>
      <c r="T430" s="2">
        <v>0</v>
      </c>
      <c r="U430" s="2">
        <v>0</v>
      </c>
    </row>
    <row r="431" spans="1:21" x14ac:dyDescent="0.3">
      <c r="A431" s="5" t="s">
        <v>48</v>
      </c>
      <c r="B431" s="5">
        <v>2011</v>
      </c>
      <c r="C431" s="5" t="s">
        <v>49</v>
      </c>
      <c r="D431" s="9">
        <v>3005.3915019999999</v>
      </c>
      <c r="E431" s="7">
        <f t="shared" ref="E431:E494" si="7">(D431*0.879199277802054)*1000000</f>
        <v>2642338038.0708303</v>
      </c>
      <c r="F431" s="7">
        <v>283756528.21263433</v>
      </c>
      <c r="G431" s="7">
        <v>217121155.09252501</v>
      </c>
      <c r="H431" s="7"/>
      <c r="I431" s="7">
        <v>500877683.30515927</v>
      </c>
      <c r="J431" s="6">
        <v>5.1211061197056011</v>
      </c>
      <c r="K431" s="7">
        <v>2750.286637876934</v>
      </c>
      <c r="L431" s="7">
        <v>42758461</v>
      </c>
      <c r="M431" s="6">
        <v>29.1952417</v>
      </c>
      <c r="N431" s="6">
        <v>41.016948300000003</v>
      </c>
      <c r="O431" s="6">
        <v>40.334415700000001</v>
      </c>
      <c r="P431" s="6">
        <v>46.616534299999998</v>
      </c>
      <c r="Q431" s="6">
        <v>42.047878900000001</v>
      </c>
      <c r="R431" s="6">
        <v>49.045479899999997</v>
      </c>
      <c r="S431" s="5">
        <v>0</v>
      </c>
      <c r="T431" s="5">
        <v>0</v>
      </c>
      <c r="U431" s="5">
        <v>0</v>
      </c>
    </row>
    <row r="432" spans="1:21" x14ac:dyDescent="0.3">
      <c r="A432" s="2" t="s">
        <v>48</v>
      </c>
      <c r="B432" s="2">
        <v>2012</v>
      </c>
      <c r="C432" s="2" t="s">
        <v>49</v>
      </c>
      <c r="D432" s="8">
        <v>3531.6319779999999</v>
      </c>
      <c r="E432" s="4">
        <f t="shared" si="7"/>
        <v>3105008284.5202394</v>
      </c>
      <c r="F432" s="4">
        <v>202350611.205158</v>
      </c>
      <c r="G432" s="4">
        <v>501092005.03129619</v>
      </c>
      <c r="H432" s="4">
        <v>155136968.18654761</v>
      </c>
      <c r="I432" s="4">
        <v>858579584.42300177</v>
      </c>
      <c r="J432" s="3">
        <v>4.5686796144498203</v>
      </c>
      <c r="K432" s="4">
        <v>2847.2706828684618</v>
      </c>
      <c r="L432" s="4">
        <v>43888303</v>
      </c>
      <c r="M432" s="3">
        <v>28.120387900000001</v>
      </c>
      <c r="N432" s="3">
        <v>42.228777399999998</v>
      </c>
      <c r="O432" s="3">
        <v>40.3888599</v>
      </c>
      <c r="P432" s="3">
        <v>46.784585100000001</v>
      </c>
      <c r="Q432" s="3">
        <v>43.429424999999988</v>
      </c>
      <c r="R432" s="3">
        <v>50.646768599999987</v>
      </c>
      <c r="S432" s="2">
        <v>0</v>
      </c>
      <c r="T432" s="2">
        <v>0</v>
      </c>
      <c r="U432" s="2">
        <v>0</v>
      </c>
    </row>
    <row r="433" spans="1:21" x14ac:dyDescent="0.3">
      <c r="A433" s="5" t="s">
        <v>48</v>
      </c>
      <c r="B433" s="5">
        <v>2013</v>
      </c>
      <c r="C433" s="5" t="s">
        <v>49</v>
      </c>
      <c r="D433" s="9">
        <v>3927.9913649999999</v>
      </c>
      <c r="E433" s="7">
        <f t="shared" si="7"/>
        <v>3453487171.320704</v>
      </c>
      <c r="F433" s="7">
        <v>199701078.30831021</v>
      </c>
      <c r="G433" s="7">
        <v>230500956.04803389</v>
      </c>
      <c r="H433" s="7"/>
      <c r="I433" s="7">
        <v>430202034.3563441</v>
      </c>
      <c r="J433" s="6">
        <v>3.797848392575403</v>
      </c>
      <c r="K433" s="7">
        <v>3106.3939446488512</v>
      </c>
      <c r="L433" s="7">
        <v>44986791</v>
      </c>
      <c r="M433" s="6">
        <v>28.936500299999999</v>
      </c>
      <c r="N433" s="6">
        <v>43.199383999999988</v>
      </c>
      <c r="O433" s="6">
        <v>45.964664900000002</v>
      </c>
      <c r="P433" s="6">
        <v>46.880293899999998</v>
      </c>
      <c r="Q433" s="6">
        <v>44.217771599999999</v>
      </c>
      <c r="R433" s="6">
        <v>52.146241799999999</v>
      </c>
      <c r="S433" s="5">
        <v>0</v>
      </c>
      <c r="T433" s="5">
        <v>0</v>
      </c>
      <c r="U433" s="5">
        <v>0</v>
      </c>
    </row>
    <row r="434" spans="1:21" x14ac:dyDescent="0.3">
      <c r="A434" s="2" t="s">
        <v>48</v>
      </c>
      <c r="B434" s="2">
        <v>2014</v>
      </c>
      <c r="C434" s="2" t="s">
        <v>49</v>
      </c>
      <c r="D434" s="8">
        <v>3285.4789850000002</v>
      </c>
      <c r="E434" s="4">
        <f t="shared" si="7"/>
        <v>2888590750.8458252</v>
      </c>
      <c r="F434" s="4">
        <v>158452523.44392791</v>
      </c>
      <c r="G434" s="4">
        <v>3937453850.4577842</v>
      </c>
      <c r="H434" s="4"/>
      <c r="I434" s="4">
        <v>4095906373.9017119</v>
      </c>
      <c r="J434" s="3">
        <v>5.020111002324839</v>
      </c>
      <c r="K434" s="4">
        <v>3359.4895066509312</v>
      </c>
      <c r="L434" s="4">
        <v>46051440</v>
      </c>
      <c r="M434" s="3">
        <v>30.969770499999999</v>
      </c>
      <c r="N434" s="3">
        <v>43.260348800000003</v>
      </c>
      <c r="O434" s="3">
        <v>44.317487900000003</v>
      </c>
      <c r="P434" s="3">
        <v>49.720947600000002</v>
      </c>
      <c r="Q434" s="3">
        <v>47.483924299999998</v>
      </c>
      <c r="R434" s="3">
        <v>53.422969599999988</v>
      </c>
      <c r="S434" s="2">
        <v>0</v>
      </c>
      <c r="T434" s="2">
        <v>0</v>
      </c>
      <c r="U434" s="2">
        <v>0</v>
      </c>
    </row>
    <row r="435" spans="1:21" x14ac:dyDescent="0.3">
      <c r="A435" s="5" t="s">
        <v>48</v>
      </c>
      <c r="B435" s="5">
        <v>2015</v>
      </c>
      <c r="C435" s="5" t="s">
        <v>49</v>
      </c>
      <c r="D435" s="9">
        <v>3261.2945679999998</v>
      </c>
      <c r="E435" s="7">
        <f t="shared" si="7"/>
        <v>2867327828.8853617</v>
      </c>
      <c r="F435" s="7">
        <v>171916491.205376</v>
      </c>
      <c r="G435" s="7">
        <v>1568859739.0665901</v>
      </c>
      <c r="H435" s="7"/>
      <c r="I435" s="7">
        <v>1740776230.271966</v>
      </c>
      <c r="J435" s="6">
        <v>4.9677211275976703</v>
      </c>
      <c r="K435" s="7">
        <v>3678.326141460193</v>
      </c>
      <c r="L435" s="7">
        <v>47088526</v>
      </c>
      <c r="M435" s="6">
        <v>28.1966398</v>
      </c>
      <c r="N435" s="6">
        <v>44.193492599999999</v>
      </c>
      <c r="O435" s="6">
        <v>44.8701358</v>
      </c>
      <c r="P435" s="6">
        <v>50.296492499999999</v>
      </c>
      <c r="Q435" s="6">
        <v>45.909255100000003</v>
      </c>
      <c r="R435" s="6">
        <v>52.192105400000003</v>
      </c>
      <c r="S435" s="5">
        <v>1</v>
      </c>
      <c r="T435" s="5">
        <v>1</v>
      </c>
      <c r="U435" s="5">
        <v>0</v>
      </c>
    </row>
    <row r="436" spans="1:21" x14ac:dyDescent="0.3">
      <c r="A436" s="2" t="s">
        <v>48</v>
      </c>
      <c r="B436" s="2">
        <v>2016</v>
      </c>
      <c r="C436" s="2" t="s">
        <v>49</v>
      </c>
      <c r="D436" s="8">
        <v>3111.0930910000002</v>
      </c>
      <c r="E436" s="4">
        <f t="shared" si="7"/>
        <v>2735270798.7821598</v>
      </c>
      <c r="F436" s="4">
        <v>115502661.112416</v>
      </c>
      <c r="G436" s="4">
        <v>950005165.81898689</v>
      </c>
      <c r="H436" s="4">
        <v>0</v>
      </c>
      <c r="I436" s="4">
        <v>1065507826.931403</v>
      </c>
      <c r="J436" s="3">
        <v>4.2135170681474392</v>
      </c>
      <c r="K436" s="4">
        <v>3916.6531567309462</v>
      </c>
      <c r="L436" s="4">
        <v>48139687</v>
      </c>
      <c r="M436" s="3">
        <v>29.621068999999999</v>
      </c>
      <c r="N436" s="3">
        <v>45.184896500000001</v>
      </c>
      <c r="O436" s="3">
        <v>45.7526771</v>
      </c>
      <c r="P436" s="3">
        <v>51.281553299999999</v>
      </c>
      <c r="Q436" s="3">
        <v>46.423786200000002</v>
      </c>
      <c r="R436" s="3">
        <v>51.806514999999997</v>
      </c>
      <c r="S436" s="2">
        <v>1</v>
      </c>
      <c r="T436" s="2">
        <v>1</v>
      </c>
      <c r="U436" s="2">
        <v>0</v>
      </c>
    </row>
    <row r="437" spans="1:21" x14ac:dyDescent="0.3">
      <c r="A437" s="5" t="s">
        <v>48</v>
      </c>
      <c r="B437" s="5">
        <v>2017</v>
      </c>
      <c r="C437" s="5" t="s">
        <v>49</v>
      </c>
      <c r="D437" s="9">
        <v>3483.5539429999999</v>
      </c>
      <c r="E437" s="7">
        <f t="shared" si="7"/>
        <v>3062738110.8700976</v>
      </c>
      <c r="F437" s="7">
        <v>232902409.9595221</v>
      </c>
      <c r="G437" s="7">
        <v>1088098723.378988</v>
      </c>
      <c r="H437" s="7">
        <v>590126744.30151904</v>
      </c>
      <c r="I437" s="7">
        <v>1911127877.640029</v>
      </c>
      <c r="J437" s="6">
        <v>3.837958173647209</v>
      </c>
      <c r="K437" s="7">
        <v>4177.2499358026744</v>
      </c>
      <c r="L437" s="7">
        <v>49197766</v>
      </c>
      <c r="M437" s="6">
        <v>29.6658756</v>
      </c>
      <c r="N437" s="6">
        <v>45.443006099999998</v>
      </c>
      <c r="O437" s="6">
        <v>46.554446499999997</v>
      </c>
      <c r="P437" s="6">
        <v>51.731956699999998</v>
      </c>
      <c r="Q437" s="6">
        <v>47.598344500000003</v>
      </c>
      <c r="R437" s="6">
        <v>49.699469099999988</v>
      </c>
      <c r="S437" s="5">
        <v>1</v>
      </c>
      <c r="T437" s="5">
        <v>1</v>
      </c>
      <c r="U437" s="5">
        <v>0</v>
      </c>
    </row>
    <row r="438" spans="1:21" x14ac:dyDescent="0.3">
      <c r="A438" s="2" t="s">
        <v>48</v>
      </c>
      <c r="B438" s="2">
        <v>2018</v>
      </c>
      <c r="C438" s="2" t="s">
        <v>49</v>
      </c>
      <c r="D438" s="8">
        <v>3366.4347290000001</v>
      </c>
      <c r="E438" s="4">
        <f t="shared" si="7"/>
        <v>2959766982.5045533</v>
      </c>
      <c r="F438" s="4">
        <v>197853104.8409355</v>
      </c>
      <c r="G438" s="4">
        <v>186439705.7213912</v>
      </c>
      <c r="H438" s="4"/>
      <c r="I438" s="4">
        <v>384292810.56232673</v>
      </c>
      <c r="J438" s="3">
        <v>5.6479464070921921</v>
      </c>
      <c r="K438" s="4">
        <v>4411.5610412088572</v>
      </c>
      <c r="L438" s="4">
        <v>50207107</v>
      </c>
      <c r="M438" s="3">
        <v>30.9703838</v>
      </c>
      <c r="N438" s="3">
        <v>44.633180199999998</v>
      </c>
      <c r="O438" s="3">
        <v>46.7693279</v>
      </c>
      <c r="P438" s="3">
        <v>50.141533499999987</v>
      </c>
      <c r="Q438" s="3">
        <v>48.1747412</v>
      </c>
      <c r="R438" s="3">
        <v>47.555368700000002</v>
      </c>
      <c r="S438" s="2">
        <v>1</v>
      </c>
      <c r="T438" s="2">
        <v>1</v>
      </c>
      <c r="U438" s="2">
        <v>0</v>
      </c>
    </row>
    <row r="439" spans="1:21" x14ac:dyDescent="0.3">
      <c r="A439" s="5" t="s">
        <v>48</v>
      </c>
      <c r="B439" s="5">
        <v>2019</v>
      </c>
      <c r="C439" s="5" t="s">
        <v>49</v>
      </c>
      <c r="D439" s="9">
        <v>4027.1636739999999</v>
      </c>
      <c r="E439" s="7">
        <f t="shared" si="7"/>
        <v>3540679393.7714663</v>
      </c>
      <c r="F439" s="7">
        <v>245698772.1492537</v>
      </c>
      <c r="G439" s="7">
        <v>562905870.74333096</v>
      </c>
      <c r="H439" s="7">
        <v>54351992.974274397</v>
      </c>
      <c r="I439" s="7">
        <v>862956635.86685908</v>
      </c>
      <c r="J439" s="6">
        <v>5.1141588576780066</v>
      </c>
      <c r="K439" s="7">
        <v>4687.3778232530594</v>
      </c>
      <c r="L439" s="7">
        <v>51202827</v>
      </c>
      <c r="M439" s="6">
        <v>31.4670524</v>
      </c>
      <c r="N439" s="6">
        <v>45.673678299999999</v>
      </c>
      <c r="O439" s="6">
        <v>47.528816800000001</v>
      </c>
      <c r="P439" s="6">
        <v>49.443507799999999</v>
      </c>
      <c r="Q439" s="6">
        <v>47.343774099999997</v>
      </c>
      <c r="R439" s="6">
        <v>48.095670599999998</v>
      </c>
      <c r="S439" s="5">
        <v>1</v>
      </c>
      <c r="T439" s="5">
        <v>1</v>
      </c>
      <c r="U439" s="5">
        <v>0</v>
      </c>
    </row>
    <row r="440" spans="1:21" x14ac:dyDescent="0.3">
      <c r="A440" s="2" t="s">
        <v>48</v>
      </c>
      <c r="B440" s="2">
        <v>2020</v>
      </c>
      <c r="C440" s="2" t="s">
        <v>49</v>
      </c>
      <c r="D440" s="8">
        <v>5027.441151</v>
      </c>
      <c r="E440" s="4">
        <f t="shared" si="7"/>
        <v>4420122629.1515265</v>
      </c>
      <c r="F440" s="4">
        <v>40960695.304056153</v>
      </c>
      <c r="G440" s="4"/>
      <c r="H440" s="4"/>
      <c r="I440" s="4">
        <v>40960695.304056153</v>
      </c>
      <c r="J440" s="3">
        <v>-0.27276632743881629</v>
      </c>
      <c r="K440" s="4">
        <v>4792.5731584718242</v>
      </c>
      <c r="L440" s="4">
        <v>52217334</v>
      </c>
      <c r="M440" s="3">
        <v>32.6627583</v>
      </c>
      <c r="N440" s="3">
        <v>44.030085</v>
      </c>
      <c r="O440" s="3">
        <v>47.954184599999998</v>
      </c>
      <c r="P440" s="3">
        <v>47.605712999999987</v>
      </c>
      <c r="Q440" s="3">
        <v>47.0094475</v>
      </c>
      <c r="R440" s="3">
        <v>49.221346599999997</v>
      </c>
      <c r="S440" s="2">
        <v>1</v>
      </c>
      <c r="T440" s="2">
        <v>1</v>
      </c>
      <c r="U440" s="2">
        <v>0</v>
      </c>
    </row>
    <row r="441" spans="1:21" x14ac:dyDescent="0.3">
      <c r="A441" s="5" t="s">
        <v>48</v>
      </c>
      <c r="B441" s="5">
        <v>2021</v>
      </c>
      <c r="C441" s="5" t="s">
        <v>49</v>
      </c>
      <c r="D441" s="9">
        <v>3828.1624510000001</v>
      </c>
      <c r="E441" s="7">
        <f t="shared" si="7"/>
        <v>3365717662.2281408</v>
      </c>
      <c r="F441" s="7">
        <v>4303500</v>
      </c>
      <c r="G441" s="7">
        <v>0</v>
      </c>
      <c r="H441" s="7">
        <v>18241517.694272101</v>
      </c>
      <c r="I441" s="7">
        <v>22545017.694272101</v>
      </c>
      <c r="J441" s="6">
        <v>7.5904894733346708</v>
      </c>
      <c r="K441" s="7">
        <v>5338.852433827813</v>
      </c>
      <c r="L441" s="7">
        <v>53219166</v>
      </c>
      <c r="M441" s="6">
        <v>33.467389599999997</v>
      </c>
      <c r="N441" s="6">
        <v>44.597158200000003</v>
      </c>
      <c r="O441" s="6">
        <v>46.930069199999998</v>
      </c>
      <c r="P441" s="6">
        <v>48.162879500000003</v>
      </c>
      <c r="Q441" s="6">
        <v>49.295307800000003</v>
      </c>
      <c r="R441" s="6">
        <v>49.1873936</v>
      </c>
      <c r="S441" s="5">
        <v>1</v>
      </c>
      <c r="T441" s="5">
        <v>1</v>
      </c>
      <c r="U441" s="5">
        <v>0</v>
      </c>
    </row>
    <row r="442" spans="1:21" x14ac:dyDescent="0.3">
      <c r="A442" s="5" t="s">
        <v>50</v>
      </c>
      <c r="B442" s="5">
        <v>2002</v>
      </c>
      <c r="C442" s="5" t="s">
        <v>51</v>
      </c>
      <c r="D442" s="9">
        <v>129.81980899999999</v>
      </c>
      <c r="E442" s="7">
        <f t="shared" si="7"/>
        <v>114137482.31720059</v>
      </c>
      <c r="F442" s="7">
        <v>5711711.11232966</v>
      </c>
      <c r="G442" s="7"/>
      <c r="H442" s="7"/>
      <c r="I442" s="7">
        <v>5711711.11232966</v>
      </c>
      <c r="J442" s="6">
        <v>0.72383606716712734</v>
      </c>
      <c r="K442" s="7">
        <v>1385.182220674536</v>
      </c>
      <c r="L442" s="7">
        <v>1994679</v>
      </c>
      <c r="M442" s="6">
        <v>38.529204399999998</v>
      </c>
      <c r="N442" s="6">
        <v>56.564528699999997</v>
      </c>
      <c r="O442" s="6">
        <v>60.098174099999987</v>
      </c>
      <c r="P442" s="6">
        <v>49.132263500000001</v>
      </c>
      <c r="Q442" s="6">
        <v>60.344732499999999</v>
      </c>
      <c r="R442" s="6">
        <v>55.940121599999998</v>
      </c>
      <c r="S442" s="5">
        <v>0</v>
      </c>
      <c r="T442" s="5">
        <v>0</v>
      </c>
      <c r="U442" s="5">
        <v>0</v>
      </c>
    </row>
    <row r="443" spans="1:21" x14ac:dyDescent="0.3">
      <c r="A443" s="2" t="s">
        <v>50</v>
      </c>
      <c r="B443" s="2">
        <v>2003</v>
      </c>
      <c r="C443" s="2" t="s">
        <v>51</v>
      </c>
      <c r="D443" s="8">
        <v>118.265305</v>
      </c>
      <c r="E443" s="4">
        <f t="shared" si="7"/>
        <v>103978770.74503964</v>
      </c>
      <c r="F443" s="4">
        <v>14559297.76903413</v>
      </c>
      <c r="G443" s="4"/>
      <c r="H443" s="4"/>
      <c r="I443" s="4">
        <v>14559297.76903413</v>
      </c>
      <c r="J443" s="3">
        <v>4.5597771638452826</v>
      </c>
      <c r="K443" s="4">
        <v>1484.0958444925659</v>
      </c>
      <c r="L443" s="4">
        <v>1985059</v>
      </c>
      <c r="M443" s="3">
        <v>38.707416899999998</v>
      </c>
      <c r="N443" s="3">
        <v>56.323661999999999</v>
      </c>
      <c r="O443" s="3">
        <v>64.252376599999991</v>
      </c>
      <c r="P443" s="3">
        <v>46.243407699999999</v>
      </c>
      <c r="Q443" s="3">
        <v>60.345534499999999</v>
      </c>
      <c r="R443" s="3">
        <v>58.402114500000003</v>
      </c>
      <c r="S443" s="2">
        <v>0</v>
      </c>
      <c r="T443" s="2">
        <v>0</v>
      </c>
      <c r="U443" s="2">
        <v>0</v>
      </c>
    </row>
    <row r="444" spans="1:21" x14ac:dyDescent="0.3">
      <c r="A444" s="5" t="s">
        <v>50</v>
      </c>
      <c r="B444" s="5">
        <v>2004</v>
      </c>
      <c r="C444" s="5" t="s">
        <v>51</v>
      </c>
      <c r="D444" s="9">
        <v>120.341337</v>
      </c>
      <c r="E444" s="7">
        <f t="shared" si="7"/>
        <v>105804016.58013359</v>
      </c>
      <c r="F444" s="7">
        <v>0</v>
      </c>
      <c r="G444" s="7"/>
      <c r="H444" s="7"/>
      <c r="I444" s="7">
        <v>0</v>
      </c>
      <c r="J444" s="6">
        <v>1.692374173585961</v>
      </c>
      <c r="K444" s="7">
        <v>1560.7487754792451</v>
      </c>
      <c r="L444" s="7">
        <v>1971129</v>
      </c>
      <c r="M444" s="6">
        <v>41.487014799999997</v>
      </c>
      <c r="N444" s="6">
        <v>43.449432199999997</v>
      </c>
      <c r="O444" s="6">
        <v>66.778463500000001</v>
      </c>
      <c r="P444" s="6">
        <v>43.304468100000001</v>
      </c>
      <c r="Q444" s="6">
        <v>52.836323899999996</v>
      </c>
      <c r="R444" s="6">
        <v>57.3626942</v>
      </c>
      <c r="S444" s="5">
        <v>0</v>
      </c>
      <c r="T444" s="5">
        <v>0</v>
      </c>
      <c r="U444" s="5">
        <v>0</v>
      </c>
    </row>
    <row r="445" spans="1:21" x14ac:dyDescent="0.3">
      <c r="A445" s="2" t="s">
        <v>50</v>
      </c>
      <c r="B445" s="2">
        <v>2005</v>
      </c>
      <c r="C445" s="2" t="s">
        <v>51</v>
      </c>
      <c r="D445" s="8">
        <v>81.574126000000007</v>
      </c>
      <c r="E445" s="4">
        <f t="shared" si="7"/>
        <v>71719912.666533753</v>
      </c>
      <c r="F445" s="4">
        <v>24016478.91158355</v>
      </c>
      <c r="G445" s="4"/>
      <c r="H445" s="4"/>
      <c r="I445" s="4">
        <v>24016478.91158355</v>
      </c>
      <c r="J445" s="3">
        <v>3.4661222275531141</v>
      </c>
      <c r="K445" s="4">
        <v>1680.87364079911</v>
      </c>
      <c r="L445" s="4">
        <v>1953076</v>
      </c>
      <c r="M445" s="3">
        <v>45.333029799999998</v>
      </c>
      <c r="N445" s="3">
        <v>46.535481999999988</v>
      </c>
      <c r="O445" s="3">
        <v>64.350653899999998</v>
      </c>
      <c r="P445" s="3">
        <v>44.917084799999998</v>
      </c>
      <c r="Q445" s="3">
        <v>55.982540299999997</v>
      </c>
      <c r="R445" s="3">
        <v>58.878943499999998</v>
      </c>
      <c r="S445" s="2">
        <v>0</v>
      </c>
      <c r="T445" s="2">
        <v>0</v>
      </c>
      <c r="U445" s="2">
        <v>0</v>
      </c>
    </row>
    <row r="446" spans="1:21" x14ac:dyDescent="0.3">
      <c r="A446" s="5" t="s">
        <v>50</v>
      </c>
      <c r="B446" s="5">
        <v>2006</v>
      </c>
      <c r="C446" s="5" t="s">
        <v>51</v>
      </c>
      <c r="D446" s="9">
        <v>92.577687999999995</v>
      </c>
      <c r="E446" s="7">
        <f t="shared" si="7"/>
        <v>81394236.430183887</v>
      </c>
      <c r="F446" s="7">
        <v>10017616.19452743</v>
      </c>
      <c r="G446" s="7"/>
      <c r="H446" s="7"/>
      <c r="I446" s="7">
        <v>10017616.19452743</v>
      </c>
      <c r="J446" s="6">
        <v>4.2300952280520931</v>
      </c>
      <c r="K446" s="7">
        <v>1813.4444072345029</v>
      </c>
      <c r="L446" s="7">
        <v>1945063</v>
      </c>
      <c r="M446" s="6">
        <v>49.377152799999998</v>
      </c>
      <c r="N446" s="6">
        <v>42.025910199999998</v>
      </c>
      <c r="O446" s="6">
        <v>63.675559999999997</v>
      </c>
      <c r="P446" s="6">
        <v>44.739138999999987</v>
      </c>
      <c r="Q446" s="6">
        <v>54.510476099999998</v>
      </c>
      <c r="R446" s="6">
        <v>60.019813499999998</v>
      </c>
      <c r="S446" s="5">
        <v>0</v>
      </c>
      <c r="T446" s="5">
        <v>0</v>
      </c>
      <c r="U446" s="5">
        <v>0</v>
      </c>
    </row>
    <row r="447" spans="1:21" x14ac:dyDescent="0.3">
      <c r="A447" s="2" t="s">
        <v>50</v>
      </c>
      <c r="B447" s="2">
        <v>2007</v>
      </c>
      <c r="C447" s="2" t="s">
        <v>51</v>
      </c>
      <c r="D447" s="8">
        <v>143.845933</v>
      </c>
      <c r="E447" s="4">
        <f t="shared" si="7"/>
        <v>126469240.40836266</v>
      </c>
      <c r="F447" s="4">
        <v>11827591.718413699</v>
      </c>
      <c r="G447" s="4"/>
      <c r="H447" s="4"/>
      <c r="I447" s="4">
        <v>11827591.718413699</v>
      </c>
      <c r="J447" s="3">
        <v>4.1879140995715147</v>
      </c>
      <c r="K447" s="4">
        <v>1932.4266622594</v>
      </c>
      <c r="L447" s="4">
        <v>1953268</v>
      </c>
      <c r="M447" s="3">
        <v>48.338472600000003</v>
      </c>
      <c r="N447" s="3">
        <v>41.228804500000003</v>
      </c>
      <c r="O447" s="3">
        <v>60.8858733</v>
      </c>
      <c r="P447" s="3">
        <v>44.014765599999997</v>
      </c>
      <c r="Q447" s="3">
        <v>53.777307099999987</v>
      </c>
      <c r="R447" s="3">
        <v>57.473649399999999</v>
      </c>
      <c r="S447" s="2">
        <v>0</v>
      </c>
      <c r="T447" s="2">
        <v>0</v>
      </c>
      <c r="U447" s="2">
        <v>0</v>
      </c>
    </row>
    <row r="448" spans="1:21" x14ac:dyDescent="0.3">
      <c r="A448" s="5" t="s">
        <v>50</v>
      </c>
      <c r="B448" s="5">
        <v>2008</v>
      </c>
      <c r="C448" s="5" t="s">
        <v>51</v>
      </c>
      <c r="D448" s="9">
        <v>162.301512</v>
      </c>
      <c r="E448" s="7">
        <f t="shared" si="7"/>
        <v>142695372.13658139</v>
      </c>
      <c r="F448" s="7">
        <v>51569242.453844853</v>
      </c>
      <c r="G448" s="7"/>
      <c r="H448" s="7"/>
      <c r="I448" s="7">
        <v>51569242.453844853</v>
      </c>
      <c r="J448" s="6">
        <v>5.5234196697864633</v>
      </c>
      <c r="K448" s="7">
        <v>2064.423112141938</v>
      </c>
      <c r="L448" s="7">
        <v>1966541</v>
      </c>
      <c r="M448" s="6">
        <v>50.019726400000003</v>
      </c>
      <c r="N448" s="6">
        <v>41.930576100000003</v>
      </c>
      <c r="O448" s="6">
        <v>63.949584700000003</v>
      </c>
      <c r="P448" s="6">
        <v>46.516108199999998</v>
      </c>
      <c r="Q448" s="6">
        <v>53.852856899999999</v>
      </c>
      <c r="R448" s="6">
        <v>54.643981799999999</v>
      </c>
      <c r="S448" s="5">
        <v>0</v>
      </c>
      <c r="T448" s="5">
        <v>0</v>
      </c>
      <c r="U448" s="5">
        <v>0</v>
      </c>
    </row>
    <row r="449" spans="1:21" x14ac:dyDescent="0.3">
      <c r="A449" s="2" t="s">
        <v>50</v>
      </c>
      <c r="B449" s="2">
        <v>2009</v>
      </c>
      <c r="C449" s="2" t="s">
        <v>51</v>
      </c>
      <c r="D449" s="8">
        <v>155.61166</v>
      </c>
      <c r="E449" s="4">
        <f t="shared" si="7"/>
        <v>136813659.08957878</v>
      </c>
      <c r="F449" s="4">
        <v>8920.5503793264106</v>
      </c>
      <c r="G449" s="4">
        <v>0</v>
      </c>
      <c r="H449" s="4"/>
      <c r="I449" s="4">
        <v>8920.5503793264106</v>
      </c>
      <c r="J449" s="3">
        <v>-1.253757799208316</v>
      </c>
      <c r="K449" s="4">
        <v>2036.263085676539</v>
      </c>
      <c r="L449" s="4">
        <v>1980883</v>
      </c>
      <c r="M449" s="3">
        <v>51.852151999999997</v>
      </c>
      <c r="N449" s="3">
        <v>44.858409999999999</v>
      </c>
      <c r="O449" s="3">
        <v>75.022732199999993</v>
      </c>
      <c r="P449" s="3">
        <v>46.535005499999997</v>
      </c>
      <c r="Q449" s="3">
        <v>53.883367999999997</v>
      </c>
      <c r="R449" s="3">
        <v>54.8985257</v>
      </c>
      <c r="S449" s="2">
        <v>0</v>
      </c>
      <c r="T449" s="2">
        <v>0</v>
      </c>
      <c r="U449" s="2">
        <v>0</v>
      </c>
    </row>
    <row r="450" spans="1:21" x14ac:dyDescent="0.3">
      <c r="A450" s="5" t="s">
        <v>50</v>
      </c>
      <c r="B450" s="5">
        <v>2010</v>
      </c>
      <c r="C450" s="5" t="s">
        <v>51</v>
      </c>
      <c r="D450" s="9">
        <v>319.20892199999997</v>
      </c>
      <c r="E450" s="7">
        <f t="shared" si="7"/>
        <v>280648253.69037217</v>
      </c>
      <c r="F450" s="7">
        <v>16950456.806674421</v>
      </c>
      <c r="G450" s="7"/>
      <c r="H450" s="7"/>
      <c r="I450" s="7">
        <v>16950456.806674421</v>
      </c>
      <c r="J450" s="6">
        <v>5.269670780562862</v>
      </c>
      <c r="K450" s="7">
        <v>2152.9152828976771</v>
      </c>
      <c r="L450" s="7">
        <v>1996251</v>
      </c>
      <c r="M450" s="6">
        <v>51.475509700000003</v>
      </c>
      <c r="N450" s="6">
        <v>44.493259100000003</v>
      </c>
      <c r="O450" s="6">
        <v>75.829333899999995</v>
      </c>
      <c r="P450" s="6">
        <v>45.721761600000001</v>
      </c>
      <c r="Q450" s="6">
        <v>52.521361199999987</v>
      </c>
      <c r="R450" s="6">
        <v>54.238690599999998</v>
      </c>
      <c r="S450" s="5">
        <v>0</v>
      </c>
      <c r="T450" s="5">
        <v>0</v>
      </c>
      <c r="U450" s="5">
        <v>0</v>
      </c>
    </row>
    <row r="451" spans="1:21" x14ac:dyDescent="0.3">
      <c r="A451" s="2" t="s">
        <v>50</v>
      </c>
      <c r="B451" s="2">
        <v>2011</v>
      </c>
      <c r="C451" s="2" t="s">
        <v>51</v>
      </c>
      <c r="D451" s="8">
        <v>320.49249700000001</v>
      </c>
      <c r="E451" s="4">
        <f t="shared" si="7"/>
        <v>281776771.903377</v>
      </c>
      <c r="F451" s="4">
        <v>38921986.703806423</v>
      </c>
      <c r="G451" s="4"/>
      <c r="H451" s="4"/>
      <c r="I451" s="4">
        <v>38921986.703806423</v>
      </c>
      <c r="J451" s="3">
        <v>4.616413945287519</v>
      </c>
      <c r="K451" s="4">
        <v>2278.5014279106581</v>
      </c>
      <c r="L451" s="4">
        <v>2014009</v>
      </c>
      <c r="M451" s="3">
        <v>51.916258999999997</v>
      </c>
      <c r="N451" s="3">
        <v>44.0414812</v>
      </c>
      <c r="O451" s="3">
        <v>76.866897600000001</v>
      </c>
      <c r="P451" s="3">
        <v>45.439492600000001</v>
      </c>
      <c r="Q451" s="3">
        <v>52.602469999999997</v>
      </c>
      <c r="R451" s="3">
        <v>54.436613999999999</v>
      </c>
      <c r="S451" s="2">
        <v>0</v>
      </c>
      <c r="T451" s="2">
        <v>0</v>
      </c>
      <c r="U451" s="2">
        <v>0</v>
      </c>
    </row>
    <row r="452" spans="1:21" x14ac:dyDescent="0.3">
      <c r="A452" s="5" t="s">
        <v>50</v>
      </c>
      <c r="B452" s="5">
        <v>2012</v>
      </c>
      <c r="C452" s="5" t="s">
        <v>51</v>
      </c>
      <c r="D452" s="9">
        <v>360.812681</v>
      </c>
      <c r="E452" s="7">
        <f t="shared" si="7"/>
        <v>317226248.55702287</v>
      </c>
      <c r="F452" s="7">
        <v>31714947.17299987</v>
      </c>
      <c r="G452" s="7"/>
      <c r="H452" s="7"/>
      <c r="I452" s="7">
        <v>31714947.17299987</v>
      </c>
      <c r="J452" s="6">
        <v>6.3340837467944766</v>
      </c>
      <c r="K452" s="7">
        <v>2291.4956531127009</v>
      </c>
      <c r="L452" s="7">
        <v>2034354</v>
      </c>
      <c r="M452" s="6">
        <v>50.792971199999997</v>
      </c>
      <c r="N452" s="6">
        <v>42.725675199999998</v>
      </c>
      <c r="O452" s="6">
        <v>70.429272900000001</v>
      </c>
      <c r="P452" s="6">
        <v>46.751627499999998</v>
      </c>
      <c r="Q452" s="6">
        <v>53.531810099999987</v>
      </c>
      <c r="R452" s="6">
        <v>56.594511699999998</v>
      </c>
      <c r="S452" s="5">
        <v>0</v>
      </c>
      <c r="T452" s="5">
        <v>0</v>
      </c>
      <c r="U452" s="5">
        <v>0</v>
      </c>
    </row>
    <row r="453" spans="1:21" x14ac:dyDescent="0.3">
      <c r="A453" s="2" t="s">
        <v>50</v>
      </c>
      <c r="B453" s="2">
        <v>2013</v>
      </c>
      <c r="C453" s="2" t="s">
        <v>51</v>
      </c>
      <c r="D453" s="8">
        <v>408.50315899999998</v>
      </c>
      <c r="E453" s="4">
        <f t="shared" si="7"/>
        <v>359155682.3726576</v>
      </c>
      <c r="F453" s="4">
        <v>0</v>
      </c>
      <c r="G453" s="4"/>
      <c r="H453" s="4"/>
      <c r="I453" s="4">
        <v>0</v>
      </c>
      <c r="J453" s="3">
        <v>1.792525555755446</v>
      </c>
      <c r="K453" s="4">
        <v>2538.2631030604939</v>
      </c>
      <c r="L453" s="4">
        <v>2056504</v>
      </c>
      <c r="M453" s="3">
        <v>52.868394500000001</v>
      </c>
      <c r="N453" s="3">
        <v>42.547077999999999</v>
      </c>
      <c r="O453" s="3">
        <v>71.444849199999993</v>
      </c>
      <c r="P453" s="3">
        <v>48.665552499999997</v>
      </c>
      <c r="Q453" s="3">
        <v>53.5484632</v>
      </c>
      <c r="R453" s="3">
        <v>57.381402599999987</v>
      </c>
      <c r="S453" s="2">
        <v>0</v>
      </c>
      <c r="T453" s="2">
        <v>0</v>
      </c>
      <c r="U453" s="2">
        <v>0</v>
      </c>
    </row>
    <row r="454" spans="1:21" x14ac:dyDescent="0.3">
      <c r="A454" s="5" t="s">
        <v>50</v>
      </c>
      <c r="B454" s="5">
        <v>2014</v>
      </c>
      <c r="C454" s="5" t="s">
        <v>51</v>
      </c>
      <c r="D454" s="9">
        <v>153.28474800000001</v>
      </c>
      <c r="E454" s="7">
        <f t="shared" si="7"/>
        <v>134767839.73966986</v>
      </c>
      <c r="F454" s="7">
        <v>13889207.8537644</v>
      </c>
      <c r="G454" s="7"/>
      <c r="H454" s="7"/>
      <c r="I454" s="7">
        <v>13889207.8537644</v>
      </c>
      <c r="J454" s="6">
        <v>1.710549905454755</v>
      </c>
      <c r="K454" s="7">
        <v>2771.24496867163</v>
      </c>
      <c r="L454" s="7">
        <v>2080089</v>
      </c>
      <c r="M454" s="6">
        <v>50.381644999999999</v>
      </c>
      <c r="N454" s="6">
        <v>41.641459099999999</v>
      </c>
      <c r="O454" s="6">
        <v>62.953078299999987</v>
      </c>
      <c r="P454" s="6">
        <v>47.873754599999998</v>
      </c>
      <c r="Q454" s="6">
        <v>54.383352700000003</v>
      </c>
      <c r="R454" s="6">
        <v>55.487181700000001</v>
      </c>
      <c r="S454" s="5">
        <v>0</v>
      </c>
      <c r="T454" s="5">
        <v>0</v>
      </c>
      <c r="U454" s="5">
        <v>0</v>
      </c>
    </row>
    <row r="455" spans="1:21" x14ac:dyDescent="0.3">
      <c r="A455" s="2" t="s">
        <v>50</v>
      </c>
      <c r="B455" s="2">
        <v>2015</v>
      </c>
      <c r="C455" s="2" t="s">
        <v>51</v>
      </c>
      <c r="D455" s="8">
        <v>130.230828</v>
      </c>
      <c r="E455" s="4">
        <f t="shared" si="7"/>
        <v>114498849.92516351</v>
      </c>
      <c r="F455" s="4">
        <v>1122275.5695789501</v>
      </c>
      <c r="G455" s="4">
        <v>0</v>
      </c>
      <c r="H455" s="4"/>
      <c r="I455" s="4">
        <v>1122275.5695789501</v>
      </c>
      <c r="J455" s="3">
        <v>3.1240667804454598</v>
      </c>
      <c r="K455" s="4">
        <v>3034.6469292484821</v>
      </c>
      <c r="L455" s="4">
        <v>2104611</v>
      </c>
      <c r="M455" s="3">
        <v>48.861028099999999</v>
      </c>
      <c r="N455" s="3">
        <v>40.258359300000002</v>
      </c>
      <c r="O455" s="3">
        <v>62.325385900000001</v>
      </c>
      <c r="P455" s="3">
        <v>48.0087233</v>
      </c>
      <c r="Q455" s="3">
        <v>54.7299814</v>
      </c>
      <c r="R455" s="3">
        <v>55.512590099999997</v>
      </c>
      <c r="S455" s="2">
        <v>0</v>
      </c>
      <c r="T455" s="2">
        <v>0</v>
      </c>
      <c r="U455" s="2">
        <v>0</v>
      </c>
    </row>
    <row r="456" spans="1:21" x14ac:dyDescent="0.3">
      <c r="A456" s="5" t="s">
        <v>50</v>
      </c>
      <c r="B456" s="5">
        <v>2016</v>
      </c>
      <c r="C456" s="5" t="s">
        <v>51</v>
      </c>
      <c r="D456" s="9">
        <v>168.631719</v>
      </c>
      <c r="E456" s="7">
        <f t="shared" si="7"/>
        <v>148260885.55931893</v>
      </c>
      <c r="F456" s="7">
        <v>33723.303681469093</v>
      </c>
      <c r="G456" s="7"/>
      <c r="H456" s="7"/>
      <c r="I456" s="7">
        <v>33723.303681469093</v>
      </c>
      <c r="J456" s="6">
        <v>3.608907316877136</v>
      </c>
      <c r="K456" s="7">
        <v>2942.1815366392129</v>
      </c>
      <c r="L456" s="7">
        <v>2130422</v>
      </c>
      <c r="M456" s="6">
        <v>48.272216</v>
      </c>
      <c r="N456" s="6">
        <v>39.266893199999998</v>
      </c>
      <c r="O456" s="6">
        <v>61.203565500000003</v>
      </c>
      <c r="P456" s="6">
        <v>47.898913200000003</v>
      </c>
      <c r="Q456" s="6">
        <v>53.744584400000001</v>
      </c>
      <c r="R456" s="6">
        <v>53.1391493</v>
      </c>
      <c r="S456" s="5">
        <v>0</v>
      </c>
      <c r="T456" s="5">
        <v>0</v>
      </c>
      <c r="U456" s="5">
        <v>0</v>
      </c>
    </row>
    <row r="457" spans="1:21" x14ac:dyDescent="0.3">
      <c r="A457" s="2" t="s">
        <v>50</v>
      </c>
      <c r="B457" s="2">
        <v>2017</v>
      </c>
      <c r="C457" s="2" t="s">
        <v>51</v>
      </c>
      <c r="D457" s="8">
        <v>211.00657100000001</v>
      </c>
      <c r="E457" s="4">
        <f t="shared" si="7"/>
        <v>185516824.83468783</v>
      </c>
      <c r="F457" s="4">
        <v>58247.628710309822</v>
      </c>
      <c r="G457" s="4"/>
      <c r="H457" s="4"/>
      <c r="I457" s="4">
        <v>58247.628710309822</v>
      </c>
      <c r="J457" s="3">
        <v>-3.138174937334711</v>
      </c>
      <c r="K457" s="4">
        <v>2618.818207701453</v>
      </c>
      <c r="L457" s="4">
        <v>2157110</v>
      </c>
      <c r="M457" s="3">
        <v>48.805442799999987</v>
      </c>
      <c r="N457" s="3">
        <v>39.031953000000001</v>
      </c>
      <c r="O457" s="3">
        <v>62.441153</v>
      </c>
      <c r="P457" s="3">
        <v>48.288027300000003</v>
      </c>
      <c r="Q457" s="3">
        <v>52.667531699999998</v>
      </c>
      <c r="R457" s="3">
        <v>53.593590900000002</v>
      </c>
      <c r="S457" s="2">
        <v>0</v>
      </c>
      <c r="T457" s="2">
        <v>0</v>
      </c>
      <c r="U457" s="2">
        <v>0</v>
      </c>
    </row>
    <row r="458" spans="1:21" x14ac:dyDescent="0.3">
      <c r="A458" s="5" t="s">
        <v>50</v>
      </c>
      <c r="B458" s="5">
        <v>2018</v>
      </c>
      <c r="C458" s="5" t="s">
        <v>51</v>
      </c>
      <c r="D458" s="9">
        <v>219.29544300000001</v>
      </c>
      <c r="E458" s="7">
        <f t="shared" si="7"/>
        <v>192804395.11088151</v>
      </c>
      <c r="F458" s="7">
        <v>194669776.04551619</v>
      </c>
      <c r="G458" s="7">
        <v>4401.7045090887204</v>
      </c>
      <c r="H458" s="7">
        <v>0</v>
      </c>
      <c r="I458" s="7">
        <v>194674177.7500253</v>
      </c>
      <c r="J458" s="6">
        <v>-1.4806331584824051</v>
      </c>
      <c r="K458" s="7">
        <v>2632.2877522300391</v>
      </c>
      <c r="L458" s="7">
        <v>2183603</v>
      </c>
      <c r="M458" s="6">
        <v>48.272236300000003</v>
      </c>
      <c r="N458" s="6">
        <v>39.055136099999999</v>
      </c>
      <c r="O458" s="6">
        <v>63.506525600000003</v>
      </c>
      <c r="P458" s="6">
        <v>46.710910400000003</v>
      </c>
      <c r="Q458" s="6">
        <v>51.161118399999999</v>
      </c>
      <c r="R458" s="6">
        <v>54.247779700000002</v>
      </c>
      <c r="S458" s="5">
        <v>0</v>
      </c>
      <c r="T458" s="5">
        <v>0</v>
      </c>
      <c r="U458" s="5">
        <v>0</v>
      </c>
    </row>
    <row r="459" spans="1:21" x14ac:dyDescent="0.3">
      <c r="A459" s="2" t="s">
        <v>50</v>
      </c>
      <c r="B459" s="2">
        <v>2019</v>
      </c>
      <c r="C459" s="2" t="s">
        <v>51</v>
      </c>
      <c r="D459" s="8">
        <v>198.16227799999999</v>
      </c>
      <c r="E459" s="4">
        <f t="shared" si="7"/>
        <v>174224131.70520982</v>
      </c>
      <c r="F459" s="4">
        <v>1123564.61226213</v>
      </c>
      <c r="G459" s="4"/>
      <c r="H459" s="4">
        <v>0</v>
      </c>
      <c r="I459" s="4">
        <v>1123564.61226213</v>
      </c>
      <c r="J459" s="3">
        <v>-1.417993830852055</v>
      </c>
      <c r="K459" s="4">
        <v>2568.3411436271931</v>
      </c>
      <c r="L459" s="4">
        <v>2209405</v>
      </c>
      <c r="M459" s="3">
        <v>47.283546600000001</v>
      </c>
      <c r="N459" s="3">
        <v>38.227079499999988</v>
      </c>
      <c r="O459" s="3">
        <v>60.975232299999988</v>
      </c>
      <c r="P459" s="3">
        <v>46.174816200000002</v>
      </c>
      <c r="Q459" s="3">
        <v>51.085993700000003</v>
      </c>
      <c r="R459" s="3">
        <v>53.997091500000003</v>
      </c>
      <c r="S459" s="2">
        <v>0</v>
      </c>
      <c r="T459" s="2">
        <v>0</v>
      </c>
      <c r="U459" s="2">
        <v>0</v>
      </c>
    </row>
    <row r="460" spans="1:21" x14ac:dyDescent="0.3">
      <c r="A460" s="5" t="s">
        <v>50</v>
      </c>
      <c r="B460" s="5">
        <v>2020</v>
      </c>
      <c r="C460" s="5" t="s">
        <v>51</v>
      </c>
      <c r="D460" s="9">
        <v>240.57427799999999</v>
      </c>
      <c r="E460" s="7">
        <f t="shared" si="7"/>
        <v>211512731.47535056</v>
      </c>
      <c r="F460" s="7">
        <v>79615332.070002124</v>
      </c>
      <c r="G460" s="7">
        <v>135538.47116351899</v>
      </c>
      <c r="H460" s="7"/>
      <c r="I460" s="7">
        <v>79750870.54116565</v>
      </c>
      <c r="J460" s="6">
        <v>-8.1559578545991087</v>
      </c>
      <c r="K460" s="7">
        <v>2559.0977607784571</v>
      </c>
      <c r="L460" s="7">
        <v>2235727</v>
      </c>
      <c r="M460" s="6">
        <v>47.659010899999998</v>
      </c>
      <c r="N460" s="6">
        <v>37.562819300000001</v>
      </c>
      <c r="O460" s="6">
        <v>63.414259399999999</v>
      </c>
      <c r="P460" s="6">
        <v>43.644630799999987</v>
      </c>
      <c r="Q460" s="6">
        <v>50.610062599999999</v>
      </c>
      <c r="R460" s="6">
        <v>54.451785200000003</v>
      </c>
      <c r="S460" s="5">
        <v>0</v>
      </c>
      <c r="T460" s="5">
        <v>0</v>
      </c>
      <c r="U460" s="5">
        <v>0</v>
      </c>
    </row>
    <row r="461" spans="1:21" x14ac:dyDescent="0.3">
      <c r="A461" s="2" t="s">
        <v>50</v>
      </c>
      <c r="B461" s="2">
        <v>2021</v>
      </c>
      <c r="C461" s="2" t="s">
        <v>51</v>
      </c>
      <c r="D461" s="8">
        <v>232.52695199999999</v>
      </c>
      <c r="E461" s="4">
        <f t="shared" si="7"/>
        <v>204437528.26791286</v>
      </c>
      <c r="F461" s="4">
        <v>4160119.9999999902</v>
      </c>
      <c r="G461" s="4"/>
      <c r="H461" s="4"/>
      <c r="I461" s="4">
        <v>4160119.9999999902</v>
      </c>
      <c r="J461" s="3">
        <v>2.2667096183329112</v>
      </c>
      <c r="K461" s="4">
        <v>2544.7824955121409</v>
      </c>
      <c r="L461" s="4">
        <v>2261542</v>
      </c>
      <c r="M461" s="3">
        <v>44.7303827</v>
      </c>
      <c r="N461" s="3">
        <v>37.465120800000001</v>
      </c>
      <c r="O461" s="3">
        <v>63.615704399999998</v>
      </c>
      <c r="P461" s="3">
        <v>44.5698376</v>
      </c>
      <c r="Q461" s="3">
        <v>50.050425599999997</v>
      </c>
      <c r="R461" s="3">
        <v>52.968034499999987</v>
      </c>
      <c r="S461" s="2">
        <v>0</v>
      </c>
      <c r="T461" s="2">
        <v>0</v>
      </c>
      <c r="U461" s="2">
        <v>0</v>
      </c>
    </row>
    <row r="462" spans="1:21" x14ac:dyDescent="0.3">
      <c r="A462" s="2" t="s">
        <v>52</v>
      </c>
      <c r="B462" s="2">
        <v>2002</v>
      </c>
      <c r="C462" s="2" t="s">
        <v>53</v>
      </c>
      <c r="D462" s="8">
        <v>76.061227000000002</v>
      </c>
      <c r="E462" s="4">
        <f t="shared" si="7"/>
        <v>66872975.847138092</v>
      </c>
      <c r="F462" s="4"/>
      <c r="G462" s="4"/>
      <c r="H462" s="4"/>
      <c r="I462" s="4"/>
      <c r="J462" s="3">
        <v>3.7630176170007128</v>
      </c>
      <c r="K462" s="4">
        <v>1012.918912921102</v>
      </c>
      <c r="L462" s="4">
        <v>3094782</v>
      </c>
      <c r="M462" s="3">
        <v>25.3834005</v>
      </c>
      <c r="N462" s="3">
        <v>19.275874000000002</v>
      </c>
      <c r="O462" s="3">
        <v>33.328867099999997</v>
      </c>
      <c r="P462" s="3">
        <v>22.727260600000001</v>
      </c>
      <c r="Q462" s="3">
        <v>24.423159999999999</v>
      </c>
      <c r="R462" s="3">
        <v>34.205457299999999</v>
      </c>
      <c r="S462" s="2">
        <v>1</v>
      </c>
      <c r="T462" s="2">
        <v>1</v>
      </c>
      <c r="U462" s="2">
        <v>0</v>
      </c>
    </row>
    <row r="463" spans="1:21" x14ac:dyDescent="0.3">
      <c r="A463" s="5" t="s">
        <v>52</v>
      </c>
      <c r="B463" s="5">
        <v>2003</v>
      </c>
      <c r="C463" s="5" t="s">
        <v>53</v>
      </c>
      <c r="D463" s="9">
        <v>141.56046699999999</v>
      </c>
      <c r="E463" s="7">
        <f t="shared" si="7"/>
        <v>124459860.3517215</v>
      </c>
      <c r="F463" s="7">
        <v>0</v>
      </c>
      <c r="G463" s="7"/>
      <c r="H463" s="7"/>
      <c r="I463" s="7">
        <v>0</v>
      </c>
      <c r="J463" s="6">
        <v>-30.14513272794203</v>
      </c>
      <c r="K463" s="7">
        <v>715.81824681287219</v>
      </c>
      <c r="L463" s="7">
        <v>3119532</v>
      </c>
      <c r="M463" s="6">
        <v>25.3539551</v>
      </c>
      <c r="N463" s="6">
        <v>19.145812899999999</v>
      </c>
      <c r="O463" s="6">
        <v>30.613586099999999</v>
      </c>
      <c r="P463" s="6">
        <v>21.618558100000001</v>
      </c>
      <c r="Q463" s="6">
        <v>26.0739746</v>
      </c>
      <c r="R463" s="6">
        <v>29.311600299999998</v>
      </c>
      <c r="S463" s="5">
        <v>1</v>
      </c>
      <c r="T463" s="5">
        <v>2</v>
      </c>
      <c r="U463" s="5">
        <v>1</v>
      </c>
    </row>
    <row r="464" spans="1:21" x14ac:dyDescent="0.3">
      <c r="A464" s="2" t="s">
        <v>52</v>
      </c>
      <c r="B464" s="2">
        <v>2004</v>
      </c>
      <c r="C464" s="2" t="s">
        <v>53</v>
      </c>
      <c r="D464" s="8">
        <v>289.94532199999998</v>
      </c>
      <c r="E464" s="4">
        <f t="shared" si="7"/>
        <v>254919717.70448399</v>
      </c>
      <c r="F464" s="4">
        <v>6860896.6978082508</v>
      </c>
      <c r="G464" s="4"/>
      <c r="H464" s="4"/>
      <c r="I464" s="4">
        <v>6860896.6978082508</v>
      </c>
      <c r="J464" s="3">
        <v>2.619846894774128</v>
      </c>
      <c r="K464" s="4">
        <v>745.39786181665625</v>
      </c>
      <c r="L464" s="4">
        <v>3156892</v>
      </c>
      <c r="M464" s="3">
        <v>22.6183704</v>
      </c>
      <c r="N464" s="3">
        <v>19.042487399999999</v>
      </c>
      <c r="O464" s="3">
        <v>40.8665947</v>
      </c>
      <c r="P464" s="3">
        <v>26.606486</v>
      </c>
      <c r="Q464" s="3">
        <v>30.9826169</v>
      </c>
      <c r="R464" s="3">
        <v>38.8925853</v>
      </c>
      <c r="S464" s="2">
        <v>0</v>
      </c>
      <c r="T464" s="2">
        <v>0</v>
      </c>
      <c r="U464" s="2">
        <v>0</v>
      </c>
    </row>
    <row r="465" spans="1:21" x14ac:dyDescent="0.3">
      <c r="A465" s="5" t="s">
        <v>52</v>
      </c>
      <c r="B465" s="5">
        <v>2005</v>
      </c>
      <c r="C465" s="5" t="s">
        <v>53</v>
      </c>
      <c r="D465" s="9">
        <v>303.18686600000001</v>
      </c>
      <c r="E465" s="7">
        <f t="shared" si="7"/>
        <v>266561673.62626815</v>
      </c>
      <c r="F465" s="7">
        <v>13557447.735039489</v>
      </c>
      <c r="G465" s="7"/>
      <c r="H465" s="7"/>
      <c r="I465" s="7">
        <v>13557447.735039489</v>
      </c>
      <c r="J465" s="6">
        <v>5.2812124530929481</v>
      </c>
      <c r="K465" s="7">
        <v>774.03256779028538</v>
      </c>
      <c r="L465" s="7">
        <v>3301015</v>
      </c>
      <c r="M465" s="6">
        <v>20.183204499999999</v>
      </c>
      <c r="N465" s="6">
        <v>19.0301054</v>
      </c>
      <c r="O465" s="6">
        <v>43.210332000000001</v>
      </c>
      <c r="P465" s="6">
        <v>28.5645962</v>
      </c>
      <c r="Q465" s="6">
        <v>35.546912599999999</v>
      </c>
      <c r="R465" s="6">
        <v>48.739800700000004</v>
      </c>
      <c r="S465" s="5">
        <v>0</v>
      </c>
      <c r="T465" s="5">
        <v>0</v>
      </c>
      <c r="U465" s="5">
        <v>0</v>
      </c>
    </row>
    <row r="466" spans="1:21" x14ac:dyDescent="0.3">
      <c r="A466" s="2" t="s">
        <v>52</v>
      </c>
      <c r="B466" s="2">
        <v>2006</v>
      </c>
      <c r="C466" s="2" t="s">
        <v>53</v>
      </c>
      <c r="D466" s="8">
        <v>320.35747800000001</v>
      </c>
      <c r="E466" s="4">
        <f t="shared" si="7"/>
        <v>281658063.29608738</v>
      </c>
      <c r="F466" s="4">
        <v>49184207.704263084</v>
      </c>
      <c r="G466" s="4">
        <v>8127796.34102681</v>
      </c>
      <c r="H466" s="4"/>
      <c r="I466" s="4">
        <v>57312004.045289896</v>
      </c>
      <c r="J466" s="3">
        <v>8.0439099719005895</v>
      </c>
      <c r="K466" s="4">
        <v>815.21891703683661</v>
      </c>
      <c r="L466" s="4">
        <v>3490787</v>
      </c>
      <c r="M466" s="3">
        <v>31.995143899999999</v>
      </c>
      <c r="N466" s="3">
        <v>25.926703</v>
      </c>
      <c r="O466" s="3">
        <v>44.774533499999997</v>
      </c>
      <c r="P466" s="3">
        <v>33.903379800000003</v>
      </c>
      <c r="Q466" s="3">
        <v>42.681096799999999</v>
      </c>
      <c r="R466" s="3">
        <v>56.088864800000003</v>
      </c>
      <c r="S466" s="2">
        <v>0</v>
      </c>
      <c r="T466" s="2">
        <v>0</v>
      </c>
      <c r="U466" s="2">
        <v>0</v>
      </c>
    </row>
    <row r="467" spans="1:21" x14ac:dyDescent="0.3">
      <c r="A467" s="5" t="s">
        <v>52</v>
      </c>
      <c r="B467" s="5">
        <v>2007</v>
      </c>
      <c r="C467" s="5" t="s">
        <v>53</v>
      </c>
      <c r="D467" s="9">
        <v>1337.150091</v>
      </c>
      <c r="E467" s="7">
        <f t="shared" si="7"/>
        <v>1175621394.3201509</v>
      </c>
      <c r="F467" s="7">
        <v>20959962.966714371</v>
      </c>
      <c r="G467" s="7"/>
      <c r="H467" s="7"/>
      <c r="I467" s="7">
        <v>20959962.966714371</v>
      </c>
      <c r="J467" s="6">
        <v>9.5352753628228157</v>
      </c>
      <c r="K467" s="7">
        <v>872.58464594221641</v>
      </c>
      <c r="L467" s="7">
        <v>3669050</v>
      </c>
      <c r="M467" s="6">
        <v>33.283479100000001</v>
      </c>
      <c r="N467" s="6">
        <v>25.546908800000001</v>
      </c>
      <c r="O467" s="6">
        <v>46.0590288</v>
      </c>
      <c r="P467" s="6">
        <v>33.922450599999998</v>
      </c>
      <c r="Q467" s="6">
        <v>40.459966000000001</v>
      </c>
      <c r="R467" s="6">
        <v>55.046903099999987</v>
      </c>
      <c r="S467" s="5">
        <v>0</v>
      </c>
      <c r="T467" s="5">
        <v>0</v>
      </c>
      <c r="U467" s="5">
        <v>0</v>
      </c>
    </row>
    <row r="468" spans="1:21" x14ac:dyDescent="0.3">
      <c r="A468" s="2" t="s">
        <v>52</v>
      </c>
      <c r="B468" s="2">
        <v>2008</v>
      </c>
      <c r="C468" s="2" t="s">
        <v>53</v>
      </c>
      <c r="D468" s="8">
        <v>1823.6791989999999</v>
      </c>
      <c r="E468" s="4">
        <f t="shared" si="7"/>
        <v>1603377434.7034283</v>
      </c>
      <c r="F468" s="4">
        <v>27802348.87266288</v>
      </c>
      <c r="G468" s="4">
        <v>0</v>
      </c>
      <c r="H468" s="4"/>
      <c r="I468" s="4">
        <v>27802348.87266288</v>
      </c>
      <c r="J468" s="3">
        <v>7.1456911281147626</v>
      </c>
      <c r="K468" s="4">
        <v>915.05359971417943</v>
      </c>
      <c r="L468" s="4">
        <v>3821003</v>
      </c>
      <c r="M468" s="3">
        <v>35.166164500000001</v>
      </c>
      <c r="N468" s="3">
        <v>27.705432200000001</v>
      </c>
      <c r="O468" s="3">
        <v>46.064202799999997</v>
      </c>
      <c r="P468" s="3">
        <v>35.316232499999998</v>
      </c>
      <c r="Q468" s="3">
        <v>41.357413000000001</v>
      </c>
      <c r="R468" s="3">
        <v>55.305280099999997</v>
      </c>
      <c r="S468" s="2">
        <v>0</v>
      </c>
      <c r="T468" s="2">
        <v>0</v>
      </c>
      <c r="U468" s="2">
        <v>0</v>
      </c>
    </row>
    <row r="469" spans="1:21" x14ac:dyDescent="0.3">
      <c r="A469" s="5" t="s">
        <v>52</v>
      </c>
      <c r="B469" s="5">
        <v>2009</v>
      </c>
      <c r="C469" s="5" t="s">
        <v>53</v>
      </c>
      <c r="D469" s="9">
        <v>599.14789599999995</v>
      </c>
      <c r="E469" s="7">
        <f t="shared" si="7"/>
        <v>526770397.45982003</v>
      </c>
      <c r="F469" s="7">
        <v>454750.41585277987</v>
      </c>
      <c r="G469" s="7"/>
      <c r="H469" s="7">
        <v>0</v>
      </c>
      <c r="I469" s="7">
        <v>454750.41585277987</v>
      </c>
      <c r="J469" s="6">
        <v>5.300540502915311</v>
      </c>
      <c r="K469" s="7">
        <v>939.49629024621436</v>
      </c>
      <c r="L469" s="7">
        <v>3943028</v>
      </c>
      <c r="M469" s="6">
        <v>38.973433200000002</v>
      </c>
      <c r="N469" s="6">
        <v>29.861612600000001</v>
      </c>
      <c r="O469" s="6">
        <v>48.200774499999987</v>
      </c>
      <c r="P469" s="6">
        <v>37.093218999999998</v>
      </c>
      <c r="Q469" s="6">
        <v>40.5434397</v>
      </c>
      <c r="R469" s="6">
        <v>54.1631237</v>
      </c>
      <c r="S469" s="5">
        <v>0</v>
      </c>
      <c r="T469" s="5">
        <v>0</v>
      </c>
      <c r="U469" s="5">
        <v>0</v>
      </c>
    </row>
    <row r="470" spans="1:21" x14ac:dyDescent="0.3">
      <c r="A470" s="2" t="s">
        <v>52</v>
      </c>
      <c r="B470" s="2">
        <v>2010</v>
      </c>
      <c r="C470" s="2" t="s">
        <v>53</v>
      </c>
      <c r="D470" s="8">
        <v>1925.2003239999999</v>
      </c>
      <c r="E470" s="4">
        <f t="shared" si="7"/>
        <v>1692634734.4850802</v>
      </c>
      <c r="F470" s="4">
        <v>8832994.4267578889</v>
      </c>
      <c r="G470" s="4">
        <v>0</v>
      </c>
      <c r="H470" s="4"/>
      <c r="I470" s="4">
        <v>8832994.4267578889</v>
      </c>
      <c r="J470" s="3">
        <v>6.0998252400414694</v>
      </c>
      <c r="K470" s="4">
        <v>980.11813977409986</v>
      </c>
      <c r="L470" s="4">
        <v>4058890</v>
      </c>
      <c r="M470" s="3">
        <v>39.506753099999997</v>
      </c>
      <c r="N470" s="3">
        <v>31.444040900000001</v>
      </c>
      <c r="O470" s="3">
        <v>59.1787177</v>
      </c>
      <c r="P470" s="3">
        <v>38.181308199999997</v>
      </c>
      <c r="Q470" s="3">
        <v>41.572293799999997</v>
      </c>
      <c r="R470" s="3">
        <v>53.788764699999987</v>
      </c>
      <c r="S470" s="2">
        <v>0</v>
      </c>
      <c r="T470" s="2">
        <v>0</v>
      </c>
      <c r="U470" s="2">
        <v>0</v>
      </c>
    </row>
    <row r="471" spans="1:21" x14ac:dyDescent="0.3">
      <c r="A471" s="5" t="s">
        <v>52</v>
      </c>
      <c r="B471" s="5">
        <v>2011</v>
      </c>
      <c r="C471" s="5" t="s">
        <v>53</v>
      </c>
      <c r="D471" s="9">
        <v>978.89753700000006</v>
      </c>
      <c r="E471" s="7">
        <f t="shared" si="7"/>
        <v>860646007.57260954</v>
      </c>
      <c r="F471" s="7">
        <v>22113278.754112352</v>
      </c>
      <c r="G471" s="7"/>
      <c r="H471" s="7"/>
      <c r="I471" s="7">
        <v>22113278.754112352</v>
      </c>
      <c r="J471" s="6">
        <v>8.2007682249706448</v>
      </c>
      <c r="K471" s="7">
        <v>1040.761414040184</v>
      </c>
      <c r="L471" s="7">
        <v>4221178</v>
      </c>
      <c r="M471" s="6">
        <v>36.381366999999997</v>
      </c>
      <c r="N471" s="6">
        <v>31.938409</v>
      </c>
      <c r="O471" s="6">
        <v>57.811602000000001</v>
      </c>
      <c r="P471" s="6">
        <v>36.295226100000001</v>
      </c>
      <c r="Q471" s="6">
        <v>41.524542699999998</v>
      </c>
      <c r="R471" s="6">
        <v>52.083269599999987</v>
      </c>
      <c r="S471" s="5">
        <v>0</v>
      </c>
      <c r="T471" s="5">
        <v>0</v>
      </c>
      <c r="U471" s="5">
        <v>0</v>
      </c>
    </row>
    <row r="472" spans="1:21" x14ac:dyDescent="0.3">
      <c r="A472" s="2" t="s">
        <v>52</v>
      </c>
      <c r="B472" s="2">
        <v>2012</v>
      </c>
      <c r="C472" s="2" t="s">
        <v>53</v>
      </c>
      <c r="D472" s="8">
        <v>633.10657400000002</v>
      </c>
      <c r="E472" s="4">
        <f t="shared" si="7"/>
        <v>556626842.63253272</v>
      </c>
      <c r="F472" s="4">
        <v>51121507.165596798</v>
      </c>
      <c r="G472" s="4"/>
      <c r="H472" s="4"/>
      <c r="I472" s="4">
        <v>51121507.165596798</v>
      </c>
      <c r="J472" s="3">
        <v>7.9938144455536673</v>
      </c>
      <c r="K472" s="4">
        <v>1156.9531944800331</v>
      </c>
      <c r="L472" s="4">
        <v>4373043</v>
      </c>
      <c r="M472" s="3">
        <v>38.276187200000003</v>
      </c>
      <c r="N472" s="3">
        <v>34.199441299999997</v>
      </c>
      <c r="O472" s="3">
        <v>59.271422899999997</v>
      </c>
      <c r="P472" s="3">
        <v>38.151004999999998</v>
      </c>
      <c r="Q472" s="3">
        <v>42.618236400000001</v>
      </c>
      <c r="R472" s="3">
        <v>53.409046399999987</v>
      </c>
      <c r="S472" s="2">
        <v>0</v>
      </c>
      <c r="T472" s="2">
        <v>0</v>
      </c>
      <c r="U472" s="2">
        <v>0</v>
      </c>
    </row>
    <row r="473" spans="1:21" x14ac:dyDescent="0.3">
      <c r="A473" s="5" t="s">
        <v>52</v>
      </c>
      <c r="B473" s="5">
        <v>2013</v>
      </c>
      <c r="C473" s="5" t="s">
        <v>53</v>
      </c>
      <c r="D473" s="9">
        <v>587.01732200000004</v>
      </c>
      <c r="E473" s="7">
        <f t="shared" si="7"/>
        <v>516105205.55969584</v>
      </c>
      <c r="F473" s="7">
        <v>21263489.00877836</v>
      </c>
      <c r="G473" s="7">
        <v>564018276.09491706</v>
      </c>
      <c r="H473" s="7"/>
      <c r="I473" s="7">
        <v>585281765.10369539</v>
      </c>
      <c r="J473" s="6">
        <v>8.6872878163968323</v>
      </c>
      <c r="K473" s="7">
        <v>1360.129103701546</v>
      </c>
      <c r="L473" s="7">
        <v>4470239</v>
      </c>
      <c r="M473" s="6">
        <v>34.410339499999999</v>
      </c>
      <c r="N473" s="6">
        <v>29.501087399999999</v>
      </c>
      <c r="O473" s="6">
        <v>59.665758500000003</v>
      </c>
      <c r="P473" s="6">
        <v>38.264923600000003</v>
      </c>
      <c r="Q473" s="6">
        <v>42.355580400000001</v>
      </c>
      <c r="R473" s="6">
        <v>51.130733399999997</v>
      </c>
      <c r="S473" s="5">
        <v>0</v>
      </c>
      <c r="T473" s="5">
        <v>0</v>
      </c>
      <c r="U473" s="5">
        <v>0</v>
      </c>
    </row>
    <row r="474" spans="1:21" x14ac:dyDescent="0.3">
      <c r="A474" s="2" t="s">
        <v>52</v>
      </c>
      <c r="B474" s="2">
        <v>2014</v>
      </c>
      <c r="C474" s="2" t="s">
        <v>53</v>
      </c>
      <c r="D474" s="8">
        <v>834.81824099999994</v>
      </c>
      <c r="E474" s="4">
        <f t="shared" si="7"/>
        <v>733971594.5831809</v>
      </c>
      <c r="F474" s="4">
        <v>56751910.130421348</v>
      </c>
      <c r="G474" s="4"/>
      <c r="H474" s="4"/>
      <c r="I474" s="4">
        <v>56751910.130421348</v>
      </c>
      <c r="J474" s="3">
        <v>0.70139310028751822</v>
      </c>
      <c r="K474" s="4">
        <v>1418.7735551589151</v>
      </c>
      <c r="L474" s="4">
        <v>4564293</v>
      </c>
      <c r="M474" s="3">
        <v>31.789510100000001</v>
      </c>
      <c r="N474" s="3">
        <v>29.659987900000001</v>
      </c>
      <c r="O474" s="3">
        <v>57.175722399999998</v>
      </c>
      <c r="P474" s="3">
        <v>41.827215899999999</v>
      </c>
      <c r="Q474" s="3">
        <v>43.655663199999999</v>
      </c>
      <c r="R474" s="3">
        <v>52.505466400000003</v>
      </c>
      <c r="S474" s="2">
        <v>0</v>
      </c>
      <c r="T474" s="2">
        <v>0</v>
      </c>
      <c r="U474" s="2">
        <v>0</v>
      </c>
    </row>
    <row r="475" spans="1:21" x14ac:dyDescent="0.3">
      <c r="A475" s="5" t="s">
        <v>52</v>
      </c>
      <c r="B475" s="5">
        <v>2015</v>
      </c>
      <c r="C475" s="5" t="s">
        <v>53</v>
      </c>
      <c r="D475" s="9">
        <v>1393.5760310000001</v>
      </c>
      <c r="E475" s="7">
        <f t="shared" si="7"/>
        <v>1225231040.017453</v>
      </c>
      <c r="F475" s="7">
        <v>24657010.70838077</v>
      </c>
      <c r="G475" s="7"/>
      <c r="H475" s="7"/>
      <c r="I475" s="7">
        <v>24657010.70838077</v>
      </c>
      <c r="J475" s="6">
        <v>-1.8564969559093921E-2</v>
      </c>
      <c r="K475" s="7">
        <v>1340.432797411966</v>
      </c>
      <c r="L475" s="7">
        <v>4659431</v>
      </c>
      <c r="M475" s="6">
        <v>32.990361399999998</v>
      </c>
      <c r="N475" s="6">
        <v>27.955666999999998</v>
      </c>
      <c r="O475" s="6">
        <v>55.898628500000001</v>
      </c>
      <c r="P475" s="6">
        <v>42.403579299999997</v>
      </c>
      <c r="Q475" s="6">
        <v>43.325310599999987</v>
      </c>
      <c r="R475" s="6">
        <v>52.678870600000003</v>
      </c>
      <c r="S475" s="5">
        <v>0</v>
      </c>
      <c r="T475" s="5">
        <v>0</v>
      </c>
      <c r="U475" s="5">
        <v>0</v>
      </c>
    </row>
    <row r="476" spans="1:21" x14ac:dyDescent="0.3">
      <c r="A476" s="2" t="s">
        <v>52</v>
      </c>
      <c r="B476" s="2">
        <v>2016</v>
      </c>
      <c r="C476" s="2" t="s">
        <v>53</v>
      </c>
      <c r="D476" s="8">
        <v>1007.025091</v>
      </c>
      <c r="E476" s="4">
        <f t="shared" si="7"/>
        <v>885375732.73574769</v>
      </c>
      <c r="F476" s="4">
        <v>69146312.522379085</v>
      </c>
      <c r="G476" s="4"/>
      <c r="H476" s="4"/>
      <c r="I476" s="4">
        <v>69146312.522379085</v>
      </c>
      <c r="J476" s="3">
        <v>-1.554958617487799</v>
      </c>
      <c r="K476" s="4">
        <v>1490.33581410026</v>
      </c>
      <c r="L476" s="4">
        <v>4755608</v>
      </c>
      <c r="M476" s="3">
        <v>30.6987424</v>
      </c>
      <c r="N476" s="3">
        <v>28.830667399999999</v>
      </c>
      <c r="O476" s="3">
        <v>58.154089799999987</v>
      </c>
      <c r="P476" s="3">
        <v>41.217844499999998</v>
      </c>
      <c r="Q476" s="3">
        <v>43.054529500000001</v>
      </c>
      <c r="R476" s="3">
        <v>52.923907200000002</v>
      </c>
      <c r="S476" s="2">
        <v>0</v>
      </c>
      <c r="T476" s="2">
        <v>0</v>
      </c>
      <c r="U476" s="2">
        <v>0</v>
      </c>
    </row>
    <row r="477" spans="1:21" x14ac:dyDescent="0.3">
      <c r="A477" s="5" t="s">
        <v>52</v>
      </c>
      <c r="B477" s="5">
        <v>2017</v>
      </c>
      <c r="C477" s="5" t="s">
        <v>53</v>
      </c>
      <c r="D477" s="9">
        <v>777.98708099999999</v>
      </c>
      <c r="E477" s="7">
        <f t="shared" si="7"/>
        <v>684005679.75452805</v>
      </c>
      <c r="F477" s="7">
        <v>11523.3815702097</v>
      </c>
      <c r="G477" s="7">
        <v>0</v>
      </c>
      <c r="H477" s="7"/>
      <c r="I477" s="7">
        <v>11523.3815702097</v>
      </c>
      <c r="J477" s="6">
        <v>2.4551559201223938</v>
      </c>
      <c r="K477" s="7">
        <v>1664.9448132356531</v>
      </c>
      <c r="L477" s="7">
        <v>4848925</v>
      </c>
      <c r="M477" s="6">
        <v>30.593150399999999</v>
      </c>
      <c r="N477" s="6">
        <v>28.825930799999998</v>
      </c>
      <c r="O477" s="6">
        <v>61.279368499999997</v>
      </c>
      <c r="P477" s="6">
        <v>41.2966227</v>
      </c>
      <c r="Q477" s="6">
        <v>43.337843499999998</v>
      </c>
      <c r="R477" s="6">
        <v>56.045355299999997</v>
      </c>
      <c r="S477" s="5">
        <v>0</v>
      </c>
      <c r="T477" s="5">
        <v>0</v>
      </c>
      <c r="U477" s="5">
        <v>0</v>
      </c>
    </row>
    <row r="478" spans="1:21" x14ac:dyDescent="0.3">
      <c r="A478" s="2" t="s">
        <v>52</v>
      </c>
      <c r="B478" s="2">
        <v>2018</v>
      </c>
      <c r="C478" s="2" t="s">
        <v>53</v>
      </c>
      <c r="D478" s="8">
        <v>689.62482999999997</v>
      </c>
      <c r="E478" s="4">
        <f t="shared" si="7"/>
        <v>606317652.49036419</v>
      </c>
      <c r="F478" s="4">
        <v>55047595.943800688</v>
      </c>
      <c r="G478" s="4"/>
      <c r="H478" s="4">
        <v>0</v>
      </c>
      <c r="I478" s="4">
        <v>55047595.943800688</v>
      </c>
      <c r="J478" s="3">
        <v>1.1575751220735531</v>
      </c>
      <c r="K478" s="4">
        <v>1799.727513977484</v>
      </c>
      <c r="L478" s="4">
        <v>4944726</v>
      </c>
      <c r="M478" s="3">
        <v>27.902532300000001</v>
      </c>
      <c r="N478" s="3">
        <v>28.051983</v>
      </c>
      <c r="O478" s="3">
        <v>65.577398099999996</v>
      </c>
      <c r="P478" s="3">
        <v>41.237374199999998</v>
      </c>
      <c r="Q478" s="3">
        <v>42.662103100000003</v>
      </c>
      <c r="R478" s="3">
        <v>54.484511400000002</v>
      </c>
      <c r="S478" s="2">
        <v>0</v>
      </c>
      <c r="T478" s="2">
        <v>0</v>
      </c>
      <c r="U478" s="2">
        <v>0</v>
      </c>
    </row>
    <row r="479" spans="1:21" x14ac:dyDescent="0.3">
      <c r="A479" s="5" t="s">
        <v>52</v>
      </c>
      <c r="B479" s="5">
        <v>2019</v>
      </c>
      <c r="C479" s="5" t="s">
        <v>53</v>
      </c>
      <c r="D479" s="9">
        <v>683.22560799999997</v>
      </c>
      <c r="E479" s="7">
        <f t="shared" si="7"/>
        <v>600691461.12946916</v>
      </c>
      <c r="F479" s="7">
        <v>42845200.017612629</v>
      </c>
      <c r="G479" s="7"/>
      <c r="H479" s="7">
        <v>0</v>
      </c>
      <c r="I479" s="7">
        <v>42845200.017612629</v>
      </c>
      <c r="J479" s="6">
        <v>-2.4672976353268581</v>
      </c>
      <c r="K479" s="7">
        <v>1899.522009728551</v>
      </c>
      <c r="L479" s="7">
        <v>5043721</v>
      </c>
      <c r="M479" s="6">
        <v>27.793454700000002</v>
      </c>
      <c r="N479" s="6">
        <v>26.331091900000001</v>
      </c>
      <c r="O479" s="6">
        <v>61.501111599999987</v>
      </c>
      <c r="P479" s="6">
        <v>40.113916000000003</v>
      </c>
      <c r="Q479" s="6">
        <v>41.9799431</v>
      </c>
      <c r="R479" s="6">
        <v>52.7156643</v>
      </c>
      <c r="S479" s="5">
        <v>0</v>
      </c>
      <c r="T479" s="5">
        <v>0</v>
      </c>
      <c r="U479" s="5">
        <v>0</v>
      </c>
    </row>
    <row r="480" spans="1:21" x14ac:dyDescent="0.3">
      <c r="A480" s="2" t="s">
        <v>52</v>
      </c>
      <c r="B480" s="2">
        <v>2020</v>
      </c>
      <c r="C480" s="2" t="s">
        <v>53</v>
      </c>
      <c r="D480" s="8">
        <v>786.38042199999995</v>
      </c>
      <c r="E480" s="4">
        <f t="shared" si="7"/>
        <v>691385099.10007441</v>
      </c>
      <c r="F480" s="4">
        <v>5163489.2656926811</v>
      </c>
      <c r="G480" s="4"/>
      <c r="H480" s="4"/>
      <c r="I480" s="4">
        <v>5163489.2656926811</v>
      </c>
      <c r="J480" s="3">
        <v>-2.9824912764947271</v>
      </c>
      <c r="K480" s="4">
        <v>1659.5210914599099</v>
      </c>
      <c r="L480" s="4">
        <v>5149463</v>
      </c>
      <c r="M480" s="3">
        <v>29.2985565</v>
      </c>
      <c r="N480" s="3">
        <v>24.5966387</v>
      </c>
      <c r="O480" s="3">
        <v>62.134688599999997</v>
      </c>
      <c r="P480" s="3">
        <v>39.719343500000001</v>
      </c>
      <c r="Q480" s="3">
        <v>42.243389000000001</v>
      </c>
      <c r="R480" s="3">
        <v>53.442778999999987</v>
      </c>
      <c r="S480" s="2">
        <v>0</v>
      </c>
      <c r="T480" s="2">
        <v>0</v>
      </c>
      <c r="U480" s="2">
        <v>0</v>
      </c>
    </row>
    <row r="481" spans="1:21" x14ac:dyDescent="0.3">
      <c r="A481" s="5" t="s">
        <v>52</v>
      </c>
      <c r="B481" s="5">
        <v>2021</v>
      </c>
      <c r="C481" s="5" t="s">
        <v>53</v>
      </c>
      <c r="D481" s="9">
        <v>654.70858999999996</v>
      </c>
      <c r="E481" s="7">
        <f t="shared" si="7"/>
        <v>575619319.49880099</v>
      </c>
      <c r="F481" s="7">
        <v>36752036.120930173</v>
      </c>
      <c r="G481" s="7"/>
      <c r="H481" s="7"/>
      <c r="I481" s="7">
        <v>36752036.120930173</v>
      </c>
      <c r="J481" s="6">
        <v>4.9867128348161742</v>
      </c>
      <c r="K481" s="7">
        <v>1539.20892304674</v>
      </c>
      <c r="L481" s="7">
        <v>5259323</v>
      </c>
      <c r="M481" s="6">
        <v>27.823511400000001</v>
      </c>
      <c r="N481" s="6">
        <v>25.533957099999999</v>
      </c>
      <c r="O481" s="6">
        <v>62.301268399999998</v>
      </c>
      <c r="P481" s="6">
        <v>39.9473682</v>
      </c>
      <c r="Q481" s="6">
        <v>42.456963500000001</v>
      </c>
      <c r="R481" s="6">
        <v>53.570015099999999</v>
      </c>
      <c r="S481" s="5">
        <v>0</v>
      </c>
      <c r="T481" s="5">
        <v>0</v>
      </c>
      <c r="U481" s="5">
        <v>0</v>
      </c>
    </row>
    <row r="482" spans="1:21" x14ac:dyDescent="0.3">
      <c r="A482" s="5" t="s">
        <v>54</v>
      </c>
      <c r="B482" s="5">
        <v>2002</v>
      </c>
      <c r="C482" s="5" t="s">
        <v>55</v>
      </c>
      <c r="D482" s="9">
        <v>604.37194599999998</v>
      </c>
      <c r="E482" s="7">
        <f t="shared" si="7"/>
        <v>531363378.44702202</v>
      </c>
      <c r="F482" s="7">
        <v>0</v>
      </c>
      <c r="G482" s="7"/>
      <c r="H482" s="7"/>
      <c r="I482" s="7">
        <v>0</v>
      </c>
      <c r="J482" s="6">
        <v>-12.407971105514919</v>
      </c>
      <c r="K482" s="7">
        <v>1121.087495527725</v>
      </c>
      <c r="L482" s="7">
        <v>17549913</v>
      </c>
      <c r="M482" s="6">
        <v>47.057738099999987</v>
      </c>
      <c r="N482" s="6">
        <v>41.463507399999997</v>
      </c>
      <c r="O482" s="6">
        <v>61.719530599999999</v>
      </c>
      <c r="P482" s="6">
        <v>49.436169300000003</v>
      </c>
      <c r="Q482" s="6">
        <v>51.285846100000001</v>
      </c>
      <c r="R482" s="6">
        <v>52.069889000000003</v>
      </c>
      <c r="S482" s="5">
        <v>0</v>
      </c>
      <c r="T482" s="5">
        <v>0</v>
      </c>
      <c r="U482" s="5">
        <v>0</v>
      </c>
    </row>
    <row r="483" spans="1:21" x14ac:dyDescent="0.3">
      <c r="A483" s="2" t="s">
        <v>54</v>
      </c>
      <c r="B483" s="2">
        <v>2003</v>
      </c>
      <c r="C483" s="2" t="s">
        <v>55</v>
      </c>
      <c r="D483" s="8">
        <v>842.88311399999998</v>
      </c>
      <c r="E483" s="4">
        <f t="shared" si="7"/>
        <v>741062225.10034633</v>
      </c>
      <c r="F483" s="4"/>
      <c r="G483" s="4"/>
      <c r="H483" s="4"/>
      <c r="I483" s="4"/>
      <c r="J483" s="3">
        <v>9.7848921247417451</v>
      </c>
      <c r="K483" s="4">
        <v>1218.835631687956</v>
      </c>
      <c r="L483" s="4">
        <v>18071854</v>
      </c>
      <c r="M483" s="3">
        <v>49.459270699999998</v>
      </c>
      <c r="N483" s="3">
        <v>34.266647599999999</v>
      </c>
      <c r="O483" s="3">
        <v>70.908862799999994</v>
      </c>
      <c r="P483" s="3">
        <v>48.836957899999987</v>
      </c>
      <c r="Q483" s="3">
        <v>48.246809300000002</v>
      </c>
      <c r="R483" s="3">
        <v>54.552394799999988</v>
      </c>
      <c r="S483" s="2">
        <v>0</v>
      </c>
      <c r="T483" s="2">
        <v>0</v>
      </c>
      <c r="U483" s="2">
        <v>0</v>
      </c>
    </row>
    <row r="484" spans="1:21" x14ac:dyDescent="0.3">
      <c r="A484" s="5" t="s">
        <v>54</v>
      </c>
      <c r="B484" s="5">
        <v>2004</v>
      </c>
      <c r="C484" s="5" t="s">
        <v>55</v>
      </c>
      <c r="D484" s="9">
        <v>1560.6738499999999</v>
      </c>
      <c r="E484" s="7">
        <f t="shared" si="7"/>
        <v>1372143321.8045511</v>
      </c>
      <c r="F484" s="7">
        <v>16265313.016889971</v>
      </c>
      <c r="G484" s="7"/>
      <c r="H484" s="7"/>
      <c r="I484" s="7">
        <v>16265313.016889971</v>
      </c>
      <c r="J484" s="6">
        <v>5.2570036220874243</v>
      </c>
      <c r="K484" s="7">
        <v>1279.546110585653</v>
      </c>
      <c r="L484" s="7">
        <v>18606608</v>
      </c>
      <c r="M484" s="6">
        <v>41.5653273</v>
      </c>
      <c r="N484" s="6">
        <v>38.202134699999988</v>
      </c>
      <c r="O484" s="6">
        <v>65.505716800000002</v>
      </c>
      <c r="P484" s="6">
        <v>46.260126999999997</v>
      </c>
      <c r="Q484" s="6">
        <v>51.081298599999997</v>
      </c>
      <c r="R484" s="6">
        <v>54.277001800000001</v>
      </c>
      <c r="S484" s="5">
        <v>0</v>
      </c>
      <c r="T484" s="5">
        <v>0</v>
      </c>
      <c r="U484" s="5">
        <v>0</v>
      </c>
    </row>
    <row r="485" spans="1:21" x14ac:dyDescent="0.3">
      <c r="A485" s="2" t="s">
        <v>54</v>
      </c>
      <c r="B485" s="2">
        <v>2005</v>
      </c>
      <c r="C485" s="2" t="s">
        <v>55</v>
      </c>
      <c r="D485" s="8">
        <v>1318.9985610000001</v>
      </c>
      <c r="E485" s="4">
        <f t="shared" si="7"/>
        <v>1159662582.2531486</v>
      </c>
      <c r="F485" s="4"/>
      <c r="G485" s="4"/>
      <c r="H485" s="4"/>
      <c r="I485" s="4"/>
      <c r="J485" s="3">
        <v>4.7558450949911872</v>
      </c>
      <c r="K485" s="4">
        <v>1342.5192993714511</v>
      </c>
      <c r="L485" s="4">
        <v>19159707</v>
      </c>
      <c r="M485" s="3">
        <v>41.547919499999999</v>
      </c>
      <c r="N485" s="3">
        <v>40.325458699999999</v>
      </c>
      <c r="O485" s="3">
        <v>65.150629699999996</v>
      </c>
      <c r="P485" s="3">
        <v>47.685170999999997</v>
      </c>
      <c r="Q485" s="3">
        <v>51.995846099999987</v>
      </c>
      <c r="R485" s="3">
        <v>54.713177899999998</v>
      </c>
      <c r="S485" s="2">
        <v>0</v>
      </c>
      <c r="T485" s="2">
        <v>0</v>
      </c>
      <c r="U485" s="2">
        <v>0</v>
      </c>
    </row>
    <row r="486" spans="1:21" x14ac:dyDescent="0.3">
      <c r="A486" s="5" t="s">
        <v>54</v>
      </c>
      <c r="B486" s="5">
        <v>2006</v>
      </c>
      <c r="C486" s="5" t="s">
        <v>55</v>
      </c>
      <c r="D486" s="9">
        <v>3999.0722599999999</v>
      </c>
      <c r="E486" s="7">
        <f t="shared" si="7"/>
        <v>3515981442.8702278</v>
      </c>
      <c r="F486" s="7">
        <v>63792346.202500299</v>
      </c>
      <c r="G486" s="7"/>
      <c r="H486" s="7"/>
      <c r="I486" s="7">
        <v>63792346.202500299</v>
      </c>
      <c r="J486" s="6">
        <v>5.398508448536802</v>
      </c>
      <c r="K486" s="7">
        <v>1416.4046594899819</v>
      </c>
      <c r="L486" s="7">
        <v>19730909</v>
      </c>
      <c r="M486" s="6">
        <v>43.955488099999997</v>
      </c>
      <c r="N486" s="6">
        <v>39.9797498</v>
      </c>
      <c r="O486" s="6">
        <v>68.296723900000003</v>
      </c>
      <c r="P486" s="6">
        <v>48.192808900000003</v>
      </c>
      <c r="Q486" s="6">
        <v>51.6658343</v>
      </c>
      <c r="R486" s="6">
        <v>55.560014799999998</v>
      </c>
      <c r="S486" s="5">
        <v>0</v>
      </c>
      <c r="T486" s="5">
        <v>0</v>
      </c>
      <c r="U486" s="5">
        <v>0</v>
      </c>
    </row>
    <row r="487" spans="1:21" x14ac:dyDescent="0.3">
      <c r="A487" s="2" t="s">
        <v>54</v>
      </c>
      <c r="B487" s="2">
        <v>2007</v>
      </c>
      <c r="C487" s="2" t="s">
        <v>55</v>
      </c>
      <c r="D487" s="8">
        <v>966.50925199999995</v>
      </c>
      <c r="E487" s="4">
        <f t="shared" si="7"/>
        <v>849754236.34740329</v>
      </c>
      <c r="F487" s="4">
        <v>97206493.360015005</v>
      </c>
      <c r="G487" s="4">
        <v>0</v>
      </c>
      <c r="H487" s="4"/>
      <c r="I487" s="4">
        <v>97206493.360015005</v>
      </c>
      <c r="J487" s="3">
        <v>5.7105641988505198</v>
      </c>
      <c r="K487" s="4">
        <v>1493.3754500497221</v>
      </c>
      <c r="L487" s="4">
        <v>20318583</v>
      </c>
      <c r="M487" s="3">
        <v>44.697360600000003</v>
      </c>
      <c r="N487" s="3">
        <v>42.556976900000002</v>
      </c>
      <c r="O487" s="3">
        <v>67.647812700000003</v>
      </c>
      <c r="P487" s="3">
        <v>48.946742699999987</v>
      </c>
      <c r="Q487" s="3">
        <v>51.6835217</v>
      </c>
      <c r="R487" s="3">
        <v>56.873107500000003</v>
      </c>
      <c r="S487" s="2">
        <v>0</v>
      </c>
      <c r="T487" s="2">
        <v>0</v>
      </c>
      <c r="U487" s="2">
        <v>0</v>
      </c>
    </row>
    <row r="488" spans="1:21" x14ac:dyDescent="0.3">
      <c r="A488" s="5" t="s">
        <v>54</v>
      </c>
      <c r="B488" s="5">
        <v>2008</v>
      </c>
      <c r="C488" s="5" t="s">
        <v>55</v>
      </c>
      <c r="D488" s="9">
        <v>915.34854299999995</v>
      </c>
      <c r="E488" s="7">
        <f t="shared" si="7"/>
        <v>804773777.94276226</v>
      </c>
      <c r="F488" s="7">
        <v>4106629.2131197201</v>
      </c>
      <c r="G488" s="7"/>
      <c r="H488" s="7"/>
      <c r="I488" s="7">
        <v>4106629.2131197201</v>
      </c>
      <c r="J488" s="6">
        <v>6.7126325391300128</v>
      </c>
      <c r="K488" s="7">
        <v>1577.33838928618</v>
      </c>
      <c r="L488" s="7">
        <v>20923840</v>
      </c>
      <c r="M488" s="6">
        <v>44.102520599999998</v>
      </c>
      <c r="N488" s="6">
        <v>41.297951300000001</v>
      </c>
      <c r="O488" s="6">
        <v>57.669346500000003</v>
      </c>
      <c r="P488" s="6">
        <v>48.036996700000003</v>
      </c>
      <c r="Q488" s="6">
        <v>50.9001783</v>
      </c>
      <c r="R488" s="6">
        <v>51.304324899999997</v>
      </c>
      <c r="S488" s="5">
        <v>0</v>
      </c>
      <c r="T488" s="5">
        <v>0</v>
      </c>
      <c r="U488" s="5">
        <v>0</v>
      </c>
    </row>
    <row r="489" spans="1:21" x14ac:dyDescent="0.3">
      <c r="A489" s="2" t="s">
        <v>54</v>
      </c>
      <c r="B489" s="2">
        <v>2009</v>
      </c>
      <c r="C489" s="2" t="s">
        <v>55</v>
      </c>
      <c r="D489" s="8">
        <v>480.91428300000001</v>
      </c>
      <c r="E489" s="4">
        <f t="shared" si="7"/>
        <v>422819490.29829264</v>
      </c>
      <c r="F489" s="4">
        <v>10870410.20579634</v>
      </c>
      <c r="G489" s="4"/>
      <c r="H489" s="4"/>
      <c r="I489" s="4">
        <v>10870410.20579634</v>
      </c>
      <c r="J489" s="3">
        <v>-3.978708611654397</v>
      </c>
      <c r="K489" s="4">
        <v>1479.8298002594661</v>
      </c>
      <c r="L489" s="4">
        <v>21547280</v>
      </c>
      <c r="M489" s="3">
        <v>43.569627799999999</v>
      </c>
      <c r="N489" s="3">
        <v>40.861077299999998</v>
      </c>
      <c r="O489" s="3">
        <v>52.790937100000001</v>
      </c>
      <c r="P489" s="3">
        <v>45.860494899999999</v>
      </c>
      <c r="Q489" s="3">
        <v>44.731197899999998</v>
      </c>
      <c r="R489" s="3">
        <v>43.285738100000003</v>
      </c>
      <c r="S489" s="2">
        <v>0</v>
      </c>
      <c r="T489" s="2">
        <v>0</v>
      </c>
      <c r="U489" s="2">
        <v>0</v>
      </c>
    </row>
    <row r="490" spans="1:21" x14ac:dyDescent="0.3">
      <c r="A490" s="5" t="s">
        <v>54</v>
      </c>
      <c r="B490" s="5">
        <v>2010</v>
      </c>
      <c r="C490" s="5" t="s">
        <v>55</v>
      </c>
      <c r="D490" s="9">
        <v>551.43256799999995</v>
      </c>
      <c r="E490" s="7">
        <f t="shared" si="7"/>
        <v>484819115.54213196</v>
      </c>
      <c r="F490" s="7">
        <v>5067100.6260603042</v>
      </c>
      <c r="G490" s="7"/>
      <c r="H490" s="7"/>
      <c r="I490" s="7">
        <v>5067100.6260603042</v>
      </c>
      <c r="J490" s="6">
        <v>0.61923974462212072</v>
      </c>
      <c r="K490" s="7">
        <v>1463.876467863907</v>
      </c>
      <c r="L490" s="7">
        <v>22183340</v>
      </c>
      <c r="M490" s="6">
        <v>39.956084799999999</v>
      </c>
      <c r="N490" s="6">
        <v>38.576128799999999</v>
      </c>
      <c r="O490" s="6">
        <v>45.9816577</v>
      </c>
      <c r="P490" s="6">
        <v>43.144804600000001</v>
      </c>
      <c r="Q490" s="6">
        <v>42.319952600000001</v>
      </c>
      <c r="R490" s="6">
        <v>43.209651200000003</v>
      </c>
      <c r="S490" s="5">
        <v>0</v>
      </c>
      <c r="T490" s="5">
        <v>0</v>
      </c>
      <c r="U490" s="5">
        <v>0</v>
      </c>
    </row>
    <row r="491" spans="1:21" x14ac:dyDescent="0.3">
      <c r="A491" s="2" t="s">
        <v>54</v>
      </c>
      <c r="B491" s="2">
        <v>2011</v>
      </c>
      <c r="C491" s="2" t="s">
        <v>55</v>
      </c>
      <c r="D491" s="8">
        <v>494.24620399999998</v>
      </c>
      <c r="E491" s="4">
        <f t="shared" si="7"/>
        <v>434540905.61320662</v>
      </c>
      <c r="F491" s="4">
        <v>2856289.7215893399</v>
      </c>
      <c r="G491" s="4"/>
      <c r="H491" s="4"/>
      <c r="I491" s="4">
        <v>2856289.7215893399</v>
      </c>
      <c r="J491" s="3">
        <v>1.57842705366555</v>
      </c>
      <c r="K491" s="4">
        <v>1475.1705517811381</v>
      </c>
      <c r="L491" s="4">
        <v>22822300</v>
      </c>
      <c r="M491" s="3">
        <v>39.666124799999999</v>
      </c>
      <c r="N491" s="3">
        <v>36.915035899999999</v>
      </c>
      <c r="O491" s="3">
        <v>52.168905500000001</v>
      </c>
      <c r="P491" s="3">
        <v>43.1472397</v>
      </c>
      <c r="Q491" s="3">
        <v>42.1501862</v>
      </c>
      <c r="R491" s="3">
        <v>43.381982499999999</v>
      </c>
      <c r="S491" s="2">
        <v>0</v>
      </c>
      <c r="T491" s="2">
        <v>0</v>
      </c>
      <c r="U491" s="2">
        <v>0</v>
      </c>
    </row>
    <row r="492" spans="1:21" x14ac:dyDescent="0.3">
      <c r="A492" s="5" t="s">
        <v>54</v>
      </c>
      <c r="B492" s="5">
        <v>2012</v>
      </c>
      <c r="C492" s="5" t="s">
        <v>55</v>
      </c>
      <c r="D492" s="9">
        <v>429.91143799999998</v>
      </c>
      <c r="E492" s="7">
        <f t="shared" si="7"/>
        <v>377977825.80844253</v>
      </c>
      <c r="F492" s="7">
        <v>2202237.8066822598</v>
      </c>
      <c r="G492" s="7">
        <v>15263606.253035899</v>
      </c>
      <c r="H492" s="7"/>
      <c r="I492" s="7">
        <v>17465844.059718162</v>
      </c>
      <c r="J492" s="6">
        <v>3.0111481162120839</v>
      </c>
      <c r="K492" s="7">
        <v>1463.617569264474</v>
      </c>
      <c r="L492" s="7">
        <v>23462438</v>
      </c>
      <c r="M492" s="6">
        <v>35.4595007</v>
      </c>
      <c r="N492" s="6">
        <v>33.6671671</v>
      </c>
      <c r="O492" s="6">
        <v>54.101442599999999</v>
      </c>
      <c r="P492" s="6">
        <v>42.981243900000003</v>
      </c>
      <c r="Q492" s="6">
        <v>42.724565899999988</v>
      </c>
      <c r="R492" s="6">
        <v>42.202447800000002</v>
      </c>
      <c r="S492" s="5">
        <v>0</v>
      </c>
      <c r="T492" s="5">
        <v>0</v>
      </c>
      <c r="U492" s="5">
        <v>0</v>
      </c>
    </row>
    <row r="493" spans="1:21" x14ac:dyDescent="0.3">
      <c r="A493" s="2" t="s">
        <v>54</v>
      </c>
      <c r="B493" s="2">
        <v>2013</v>
      </c>
      <c r="C493" s="2" t="s">
        <v>55</v>
      </c>
      <c r="D493" s="8">
        <v>649.60053800000003</v>
      </c>
      <c r="E493" s="4">
        <f t="shared" si="7"/>
        <v>571128323.86942577</v>
      </c>
      <c r="F493" s="4">
        <v>22015170.770659201</v>
      </c>
      <c r="G493" s="4"/>
      <c r="H493" s="4"/>
      <c r="I493" s="4">
        <v>22015170.770659201</v>
      </c>
      <c r="J493" s="3">
        <v>2.3003762280072659</v>
      </c>
      <c r="K493" s="4">
        <v>1473.403980772553</v>
      </c>
      <c r="L493" s="4">
        <v>24109290</v>
      </c>
      <c r="M493" s="3">
        <v>33.4438022</v>
      </c>
      <c r="N493" s="3">
        <v>33.227337499999997</v>
      </c>
      <c r="O493" s="3">
        <v>55.6094899</v>
      </c>
      <c r="P493" s="3">
        <v>41.057737799999998</v>
      </c>
      <c r="Q493" s="3">
        <v>39.419561799999997</v>
      </c>
      <c r="R493" s="3">
        <v>41.557110000000002</v>
      </c>
      <c r="S493" s="2">
        <v>0</v>
      </c>
      <c r="T493" s="2">
        <v>0</v>
      </c>
      <c r="U493" s="2">
        <v>0</v>
      </c>
    </row>
    <row r="494" spans="1:21" x14ac:dyDescent="0.3">
      <c r="A494" s="5" t="s">
        <v>54</v>
      </c>
      <c r="B494" s="5">
        <v>2014</v>
      </c>
      <c r="C494" s="5" t="s">
        <v>55</v>
      </c>
      <c r="D494" s="9">
        <v>674.21559300000001</v>
      </c>
      <c r="E494" s="7">
        <f t="shared" si="7"/>
        <v>592769862.44848359</v>
      </c>
      <c r="F494" s="7">
        <v>0</v>
      </c>
      <c r="G494" s="7">
        <v>0</v>
      </c>
      <c r="H494" s="7"/>
      <c r="I494" s="7">
        <v>0</v>
      </c>
      <c r="J494" s="6">
        <v>3.3392031119536649</v>
      </c>
      <c r="K494" s="7">
        <v>1498.8397690821871</v>
      </c>
      <c r="L494" s="7">
        <v>24764348</v>
      </c>
      <c r="M494" s="6">
        <v>31.9887698</v>
      </c>
      <c r="N494" s="6">
        <v>32.046968800000002</v>
      </c>
      <c r="O494" s="6">
        <v>56.286954799999997</v>
      </c>
      <c r="P494" s="6">
        <v>40.771570099999998</v>
      </c>
      <c r="Q494" s="6">
        <v>41.219532899999997</v>
      </c>
      <c r="R494" s="6">
        <v>44.016591200000001</v>
      </c>
      <c r="S494" s="5">
        <v>0</v>
      </c>
      <c r="T494" s="5">
        <v>0</v>
      </c>
      <c r="U494" s="5">
        <v>0</v>
      </c>
    </row>
    <row r="495" spans="1:21" x14ac:dyDescent="0.3">
      <c r="A495" s="2" t="s">
        <v>54</v>
      </c>
      <c r="B495" s="2">
        <v>2015</v>
      </c>
      <c r="C495" s="2" t="s">
        <v>55</v>
      </c>
      <c r="D495" s="8">
        <v>876.41997100000003</v>
      </c>
      <c r="E495" s="4">
        <f t="shared" ref="E495:E558" si="8">(D495*0.879199277802054)*1000000</f>
        <v>770547805.55449712</v>
      </c>
      <c r="F495" s="4">
        <v>6387289.7941112826</v>
      </c>
      <c r="G495" s="4"/>
      <c r="H495" s="4"/>
      <c r="I495" s="4">
        <v>6387289.7941112826</v>
      </c>
      <c r="J495" s="3">
        <v>3.1322980749030478</v>
      </c>
      <c r="K495" s="4">
        <v>1496.611724128411</v>
      </c>
      <c r="L495" s="4">
        <v>25426702</v>
      </c>
      <c r="M495" s="3">
        <v>31.965405000000001</v>
      </c>
      <c r="N495" s="3">
        <v>31.905531100000001</v>
      </c>
      <c r="O495" s="3">
        <v>56.903361399999987</v>
      </c>
      <c r="P495" s="3">
        <v>41.014683400000003</v>
      </c>
      <c r="Q495" s="3">
        <v>43.4140576</v>
      </c>
      <c r="R495" s="3">
        <v>45.014296100000003</v>
      </c>
      <c r="S495" s="2">
        <v>0</v>
      </c>
      <c r="T495" s="2">
        <v>0</v>
      </c>
      <c r="U495" s="2">
        <v>0</v>
      </c>
    </row>
    <row r="496" spans="1:21" x14ac:dyDescent="0.3">
      <c r="A496" s="5" t="s">
        <v>54</v>
      </c>
      <c r="B496" s="5">
        <v>2016</v>
      </c>
      <c r="C496" s="5" t="s">
        <v>55</v>
      </c>
      <c r="D496" s="9">
        <v>807.40778299999999</v>
      </c>
      <c r="E496" s="7">
        <f t="shared" si="8"/>
        <v>709872339.70535743</v>
      </c>
      <c r="F496" s="7">
        <v>261780.81708954601</v>
      </c>
      <c r="G496" s="7"/>
      <c r="H496" s="7"/>
      <c r="I496" s="7">
        <v>261780.81708954601</v>
      </c>
      <c r="J496" s="6">
        <v>3.9931460619949921</v>
      </c>
      <c r="K496" s="7">
        <v>1561.519623746078</v>
      </c>
      <c r="L496" s="7">
        <v>26099952</v>
      </c>
      <c r="M496" s="6">
        <v>31.765317499999998</v>
      </c>
      <c r="N496" s="6">
        <v>35.093733999999998</v>
      </c>
      <c r="O496" s="6">
        <v>57.932382599999997</v>
      </c>
      <c r="P496" s="6">
        <v>42.248836500000003</v>
      </c>
      <c r="Q496" s="6">
        <v>44.157771699999998</v>
      </c>
      <c r="R496" s="6">
        <v>45.260206099999998</v>
      </c>
      <c r="S496" s="5">
        <v>0</v>
      </c>
      <c r="T496" s="5">
        <v>0</v>
      </c>
      <c r="U496" s="5">
        <v>0</v>
      </c>
    </row>
    <row r="497" spans="1:21" x14ac:dyDescent="0.3">
      <c r="A497" s="2" t="s">
        <v>54</v>
      </c>
      <c r="B497" s="2">
        <v>2017</v>
      </c>
      <c r="C497" s="2" t="s">
        <v>55</v>
      </c>
      <c r="D497" s="8">
        <v>971.75343699999996</v>
      </c>
      <c r="E497" s="4">
        <f t="shared" si="8"/>
        <v>854364920.01206374</v>
      </c>
      <c r="F497" s="4">
        <v>78958529.605285525</v>
      </c>
      <c r="G497" s="4">
        <v>121261120.432395</v>
      </c>
      <c r="H497" s="4"/>
      <c r="I497" s="4">
        <v>200219650.03768051</v>
      </c>
      <c r="J497" s="3">
        <v>3.9333075946279341</v>
      </c>
      <c r="K497" s="4">
        <v>1546.8800189081669</v>
      </c>
      <c r="L497" s="4">
        <v>26788375</v>
      </c>
      <c r="M497" s="3">
        <v>29.181566499999999</v>
      </c>
      <c r="N497" s="3">
        <v>35.396809900000001</v>
      </c>
      <c r="O497" s="3">
        <v>56.755460399999997</v>
      </c>
      <c r="P497" s="3">
        <v>42.340323300000001</v>
      </c>
      <c r="Q497" s="3">
        <v>43.3691101</v>
      </c>
      <c r="R497" s="3">
        <v>45.0151957</v>
      </c>
      <c r="S497" s="2">
        <v>0</v>
      </c>
      <c r="T497" s="2">
        <v>0</v>
      </c>
      <c r="U497" s="2">
        <v>0</v>
      </c>
    </row>
    <row r="498" spans="1:21" x14ac:dyDescent="0.3">
      <c r="A498" s="5" t="s">
        <v>54</v>
      </c>
      <c r="B498" s="5">
        <v>2018</v>
      </c>
      <c r="C498" s="5" t="s">
        <v>55</v>
      </c>
      <c r="D498" s="9">
        <v>904.26896299999999</v>
      </c>
      <c r="E498" s="7">
        <f t="shared" si="8"/>
        <v>795032619.20841229</v>
      </c>
      <c r="F498" s="7">
        <v>112340766.6168215</v>
      </c>
      <c r="G498" s="7">
        <v>0</v>
      </c>
      <c r="H498" s="7"/>
      <c r="I498" s="7">
        <v>112340766.6168215</v>
      </c>
      <c r="J498" s="6">
        <v>3.1943565174439779</v>
      </c>
      <c r="K498" s="7">
        <v>1546.595635497951</v>
      </c>
      <c r="L498" s="7">
        <v>27494926</v>
      </c>
      <c r="M498" s="6">
        <v>29.261816100000001</v>
      </c>
      <c r="N498" s="6">
        <v>34.079843099999998</v>
      </c>
      <c r="O498" s="6">
        <v>52.868619099999997</v>
      </c>
      <c r="P498" s="6">
        <v>40.823398099999999</v>
      </c>
      <c r="Q498" s="6">
        <v>43.327233100000001</v>
      </c>
      <c r="R498" s="6">
        <v>46.711062699999999</v>
      </c>
      <c r="S498" s="5">
        <v>0</v>
      </c>
      <c r="T498" s="5">
        <v>0</v>
      </c>
      <c r="U498" s="5">
        <v>0</v>
      </c>
    </row>
    <row r="499" spans="1:21" x14ac:dyDescent="0.3">
      <c r="A499" s="2" t="s">
        <v>54</v>
      </c>
      <c r="B499" s="2">
        <v>2019</v>
      </c>
      <c r="C499" s="2" t="s">
        <v>55</v>
      </c>
      <c r="D499" s="8">
        <v>890.68994999999995</v>
      </c>
      <c r="E499" s="4">
        <f t="shared" si="8"/>
        <v>783093960.78554749</v>
      </c>
      <c r="F499" s="4">
        <v>179210961.5430668</v>
      </c>
      <c r="G499" s="4"/>
      <c r="H499" s="4"/>
      <c r="I499" s="4">
        <v>179210961.5430668</v>
      </c>
      <c r="J499" s="3">
        <v>4.4112321290958931</v>
      </c>
      <c r="K499" s="4">
        <v>1612.297727156262</v>
      </c>
      <c r="L499" s="4">
        <v>28219554</v>
      </c>
      <c r="M499" s="3">
        <v>29.1178563</v>
      </c>
      <c r="N499" s="3">
        <v>34.467949599999997</v>
      </c>
      <c r="O499" s="3">
        <v>56.8504887</v>
      </c>
      <c r="P499" s="3">
        <v>41.464315499999998</v>
      </c>
      <c r="Q499" s="3">
        <v>42.5157673</v>
      </c>
      <c r="R499" s="3">
        <v>47.490238499999997</v>
      </c>
      <c r="S499" s="2">
        <v>0</v>
      </c>
      <c r="T499" s="2">
        <v>0</v>
      </c>
      <c r="U499" s="2">
        <v>0</v>
      </c>
    </row>
    <row r="500" spans="1:21" x14ac:dyDescent="0.3">
      <c r="A500" s="5" t="s">
        <v>54</v>
      </c>
      <c r="B500" s="5">
        <v>2020</v>
      </c>
      <c r="C500" s="5" t="s">
        <v>55</v>
      </c>
      <c r="D500" s="9">
        <v>1492.75179</v>
      </c>
      <c r="E500" s="7">
        <f t="shared" si="8"/>
        <v>1312426295.7057233</v>
      </c>
      <c r="F500" s="7">
        <v>54992293.253510401</v>
      </c>
      <c r="G500" s="7"/>
      <c r="H500" s="7"/>
      <c r="I500" s="7">
        <v>54992293.253510401</v>
      </c>
      <c r="J500" s="6">
        <v>-7.1376716206448947</v>
      </c>
      <c r="K500" s="7">
        <v>1490.3231283786611</v>
      </c>
      <c r="L500" s="7">
        <v>28953556</v>
      </c>
      <c r="M500" s="6">
        <v>30.7224149</v>
      </c>
      <c r="N500" s="6">
        <v>33.7064168</v>
      </c>
      <c r="O500" s="6">
        <v>56.0780417</v>
      </c>
      <c r="P500" s="6">
        <v>41.124067599999997</v>
      </c>
      <c r="Q500" s="6">
        <v>42.187004999999999</v>
      </c>
      <c r="R500" s="6">
        <v>48.547308299999997</v>
      </c>
      <c r="S500" s="5">
        <v>0</v>
      </c>
      <c r="T500" s="5">
        <v>0</v>
      </c>
      <c r="U500" s="5">
        <v>0</v>
      </c>
    </row>
    <row r="501" spans="1:21" x14ac:dyDescent="0.3">
      <c r="A501" s="2" t="s">
        <v>54</v>
      </c>
      <c r="B501" s="2">
        <v>2021</v>
      </c>
      <c r="C501" s="2" t="s">
        <v>55</v>
      </c>
      <c r="D501" s="8">
        <v>1186.99334</v>
      </c>
      <c r="E501" s="4">
        <f t="shared" si="8"/>
        <v>1043603687.2838479</v>
      </c>
      <c r="F501" s="4">
        <v>5641860.4651162783</v>
      </c>
      <c r="G501" s="4"/>
      <c r="H501" s="4"/>
      <c r="I501" s="4">
        <v>5641860.4651162783</v>
      </c>
      <c r="J501" s="3">
        <v>4.6506834317430901</v>
      </c>
      <c r="K501" s="4">
        <v>1577.432460565288</v>
      </c>
      <c r="L501" s="4">
        <v>29691083</v>
      </c>
      <c r="M501" s="3">
        <v>28.678781000000001</v>
      </c>
      <c r="N501" s="3">
        <v>32.948712499999999</v>
      </c>
      <c r="O501" s="3">
        <v>58.0152523</v>
      </c>
      <c r="P501" s="3">
        <v>41.157450999999988</v>
      </c>
      <c r="Q501" s="3">
        <v>41.592901900000001</v>
      </c>
      <c r="R501" s="3">
        <v>47.109678299999999</v>
      </c>
      <c r="S501" s="2">
        <v>0</v>
      </c>
      <c r="T501" s="2">
        <v>0</v>
      </c>
      <c r="U501" s="2">
        <v>0</v>
      </c>
    </row>
    <row r="502" spans="1:21" x14ac:dyDescent="0.3">
      <c r="A502" s="2" t="s">
        <v>56</v>
      </c>
      <c r="B502" s="2">
        <v>2002</v>
      </c>
      <c r="C502" s="2" t="s">
        <v>57</v>
      </c>
      <c r="D502" s="8">
        <v>545.46004500000004</v>
      </c>
      <c r="E502" s="4">
        <f t="shared" si="8"/>
        <v>479568077.63387585</v>
      </c>
      <c r="F502" s="4"/>
      <c r="G502" s="4"/>
      <c r="H502" s="4"/>
      <c r="I502" s="4"/>
      <c r="J502" s="3">
        <v>1.7000000307831731</v>
      </c>
      <c r="K502" s="4">
        <v>931.28350753135589</v>
      </c>
      <c r="L502" s="4">
        <v>11880440</v>
      </c>
      <c r="M502" s="3">
        <v>26.123928899999999</v>
      </c>
      <c r="N502" s="3">
        <v>31.8862834</v>
      </c>
      <c r="O502" s="3">
        <v>64.91213119999999</v>
      </c>
      <c r="P502" s="3">
        <v>42.821777500000003</v>
      </c>
      <c r="Q502" s="3">
        <v>49.0102142</v>
      </c>
      <c r="R502" s="3">
        <v>44.6097191</v>
      </c>
      <c r="S502" s="2">
        <v>0</v>
      </c>
      <c r="T502" s="2">
        <v>0</v>
      </c>
      <c r="U502" s="2">
        <v>0</v>
      </c>
    </row>
    <row r="503" spans="1:21" x14ac:dyDescent="0.3">
      <c r="A503" s="5" t="s">
        <v>56</v>
      </c>
      <c r="B503" s="5">
        <v>2003</v>
      </c>
      <c r="C503" s="5" t="s">
        <v>57</v>
      </c>
      <c r="D503" s="9">
        <v>712.21399099999996</v>
      </c>
      <c r="E503" s="7">
        <f t="shared" si="8"/>
        <v>626178026.52771854</v>
      </c>
      <c r="F503" s="7"/>
      <c r="G503" s="7"/>
      <c r="H503" s="7"/>
      <c r="I503" s="7"/>
      <c r="J503" s="6">
        <v>5.7056394046741454</v>
      </c>
      <c r="K503" s="7">
        <v>979.03897793203782</v>
      </c>
      <c r="L503" s="7">
        <v>12181574</v>
      </c>
      <c r="M503" s="6">
        <v>28.5915906</v>
      </c>
      <c r="N503" s="6">
        <v>29.307916899999999</v>
      </c>
      <c r="O503" s="6">
        <v>62.191551599999997</v>
      </c>
      <c r="P503" s="6">
        <v>43.804876399999998</v>
      </c>
      <c r="Q503" s="6">
        <v>50.612379199999999</v>
      </c>
      <c r="R503" s="6">
        <v>45.7998148</v>
      </c>
      <c r="S503" s="5">
        <v>0</v>
      </c>
      <c r="T503" s="5">
        <v>0</v>
      </c>
      <c r="U503" s="5">
        <v>0</v>
      </c>
    </row>
    <row r="504" spans="1:21" x14ac:dyDescent="0.3">
      <c r="A504" s="2" t="s">
        <v>56</v>
      </c>
      <c r="B504" s="2">
        <v>2004</v>
      </c>
      <c r="C504" s="2" t="s">
        <v>57</v>
      </c>
      <c r="D504" s="8">
        <v>692.54280500000004</v>
      </c>
      <c r="E504" s="4">
        <f t="shared" si="8"/>
        <v>608883134.00300872</v>
      </c>
      <c r="F504" s="4"/>
      <c r="G504" s="4"/>
      <c r="H504" s="4"/>
      <c r="I504" s="4"/>
      <c r="J504" s="3">
        <v>5.4204975499382746</v>
      </c>
      <c r="K504" s="4">
        <v>1032.802139092762</v>
      </c>
      <c r="L504" s="4">
        <v>12500737</v>
      </c>
      <c r="M504" s="3">
        <v>31.890898</v>
      </c>
      <c r="N504" s="3">
        <v>32.320215599999997</v>
      </c>
      <c r="O504" s="3">
        <v>63.507673500000003</v>
      </c>
      <c r="P504" s="3">
        <v>43.659085400000002</v>
      </c>
      <c r="Q504" s="3">
        <v>52.006272299999999</v>
      </c>
      <c r="R504" s="3">
        <v>47.898536499999999</v>
      </c>
      <c r="S504" s="2">
        <v>0</v>
      </c>
      <c r="T504" s="2">
        <v>0</v>
      </c>
      <c r="U504" s="2">
        <v>0</v>
      </c>
    </row>
    <row r="505" spans="1:21" x14ac:dyDescent="0.3">
      <c r="A505" s="5" t="s">
        <v>56</v>
      </c>
      <c r="B505" s="5">
        <v>2005</v>
      </c>
      <c r="C505" s="5" t="s">
        <v>57</v>
      </c>
      <c r="D505" s="9">
        <v>741.16028600000004</v>
      </c>
      <c r="E505" s="7">
        <f t="shared" si="8"/>
        <v>651627588.18676376</v>
      </c>
      <c r="F505" s="7"/>
      <c r="G505" s="7"/>
      <c r="H505" s="7"/>
      <c r="I505" s="7"/>
      <c r="J505" s="6">
        <v>3.268726023170657</v>
      </c>
      <c r="K505" s="7">
        <v>1070.935909577365</v>
      </c>
      <c r="L505" s="7">
        <v>12840031</v>
      </c>
      <c r="M505" s="6">
        <v>32.010586199999999</v>
      </c>
      <c r="N505" s="6">
        <v>33.016947399999999</v>
      </c>
      <c r="O505" s="6">
        <v>65.287726599999999</v>
      </c>
      <c r="P505" s="6">
        <v>45.833953200000003</v>
      </c>
      <c r="Q505" s="6">
        <v>53.996400999999999</v>
      </c>
      <c r="R505" s="6">
        <v>50.7814975</v>
      </c>
      <c r="S505" s="5">
        <v>0</v>
      </c>
      <c r="T505" s="5">
        <v>0</v>
      </c>
      <c r="U505" s="5">
        <v>0</v>
      </c>
    </row>
    <row r="506" spans="1:21" x14ac:dyDescent="0.3">
      <c r="A506" s="2" t="s">
        <v>56</v>
      </c>
      <c r="B506" s="2">
        <v>2006</v>
      </c>
      <c r="C506" s="2" t="s">
        <v>57</v>
      </c>
      <c r="D506" s="8">
        <v>3765.9063639999999</v>
      </c>
      <c r="E506" s="4">
        <f t="shared" si="8"/>
        <v>3310982155.4989591</v>
      </c>
      <c r="F506" s="4"/>
      <c r="G506" s="4"/>
      <c r="H506" s="4"/>
      <c r="I506" s="4"/>
      <c r="J506" s="3">
        <v>4.6999997640469076</v>
      </c>
      <c r="K506" s="4">
        <v>1124.438269122898</v>
      </c>
      <c r="L506" s="4">
        <v>13198701</v>
      </c>
      <c r="M506" s="3">
        <v>34.616981299999999</v>
      </c>
      <c r="N506" s="3">
        <v>34.586143999999997</v>
      </c>
      <c r="O506" s="3">
        <v>64.692289299999999</v>
      </c>
      <c r="P506" s="3">
        <v>46.0326132</v>
      </c>
      <c r="Q506" s="3">
        <v>53.164165399999987</v>
      </c>
      <c r="R506" s="3">
        <v>53.170410500000003</v>
      </c>
      <c r="S506" s="2">
        <v>0</v>
      </c>
      <c r="T506" s="2">
        <v>0</v>
      </c>
      <c r="U506" s="2">
        <v>0</v>
      </c>
    </row>
    <row r="507" spans="1:21" x14ac:dyDescent="0.3">
      <c r="A507" s="5" t="s">
        <v>56</v>
      </c>
      <c r="B507" s="5">
        <v>2007</v>
      </c>
      <c r="C507" s="5" t="s">
        <v>57</v>
      </c>
      <c r="D507" s="9">
        <v>979.30778799999996</v>
      </c>
      <c r="E507" s="7">
        <f t="shared" si="8"/>
        <v>861006699.95552695</v>
      </c>
      <c r="F507" s="7">
        <v>89963219.1442049</v>
      </c>
      <c r="G507" s="7"/>
      <c r="H507" s="7"/>
      <c r="I507" s="7">
        <v>89963219.1442049</v>
      </c>
      <c r="J507" s="6">
        <v>9.599999876834687</v>
      </c>
      <c r="K507" s="7">
        <v>1230.5638544132869</v>
      </c>
      <c r="L507" s="7">
        <v>13576343</v>
      </c>
      <c r="M507" s="6">
        <v>34.420887399999998</v>
      </c>
      <c r="N507" s="6">
        <v>35.699059400000003</v>
      </c>
      <c r="O507" s="6">
        <v>64.829671500000003</v>
      </c>
      <c r="P507" s="6">
        <v>46.8034477</v>
      </c>
      <c r="Q507" s="6">
        <v>54.139600999999999</v>
      </c>
      <c r="R507" s="6">
        <v>54.100189999999998</v>
      </c>
      <c r="S507" s="5">
        <v>0</v>
      </c>
      <c r="T507" s="5">
        <v>0</v>
      </c>
      <c r="U507" s="5">
        <v>0</v>
      </c>
    </row>
    <row r="508" spans="1:21" x14ac:dyDescent="0.3">
      <c r="A508" s="2" t="s">
        <v>56</v>
      </c>
      <c r="B508" s="2">
        <v>2008</v>
      </c>
      <c r="C508" s="2" t="s">
        <v>57</v>
      </c>
      <c r="D508" s="8">
        <v>978.14571599999999</v>
      </c>
      <c r="E508" s="4">
        <f t="shared" si="8"/>
        <v>859985007.09237289</v>
      </c>
      <c r="F508" s="4">
        <v>108256544.4704368</v>
      </c>
      <c r="G508" s="4"/>
      <c r="H508" s="4"/>
      <c r="I508" s="4">
        <v>108256544.4704368</v>
      </c>
      <c r="J508" s="3">
        <v>7.6397363994459084</v>
      </c>
      <c r="K508" s="4">
        <v>1311.449997919842</v>
      </c>
      <c r="L508" s="4">
        <v>13976417</v>
      </c>
      <c r="M508" s="3">
        <v>36.3237819</v>
      </c>
      <c r="N508" s="3">
        <v>38.600645800000002</v>
      </c>
      <c r="O508" s="3">
        <v>62.290559899999998</v>
      </c>
      <c r="P508" s="3">
        <v>46.533857300000001</v>
      </c>
      <c r="Q508" s="3">
        <v>55.237371899999999</v>
      </c>
      <c r="R508" s="3">
        <v>53.537771999999997</v>
      </c>
      <c r="S508" s="2">
        <v>0</v>
      </c>
      <c r="T508" s="2">
        <v>0</v>
      </c>
      <c r="U508" s="2">
        <v>0</v>
      </c>
    </row>
    <row r="509" spans="1:21" x14ac:dyDescent="0.3">
      <c r="A509" s="5" t="s">
        <v>56</v>
      </c>
      <c r="B509" s="5">
        <v>2009</v>
      </c>
      <c r="C509" s="5" t="s">
        <v>57</v>
      </c>
      <c r="D509" s="9">
        <v>855.39177099999995</v>
      </c>
      <c r="E509" s="7">
        <f t="shared" si="8"/>
        <v>752059827.30101991</v>
      </c>
      <c r="F509" s="7">
        <v>142719737.2573953</v>
      </c>
      <c r="G509" s="7"/>
      <c r="H509" s="7"/>
      <c r="I509" s="7">
        <v>142719737.2573953</v>
      </c>
      <c r="J509" s="6">
        <v>8.3281098524037986</v>
      </c>
      <c r="K509" s="7">
        <v>1387.789915617579</v>
      </c>
      <c r="L509" s="7">
        <v>14395788</v>
      </c>
      <c r="M509" s="6">
        <v>37.023555999999999</v>
      </c>
      <c r="N509" s="6">
        <v>40.609423</v>
      </c>
      <c r="O509" s="6">
        <v>65.962755599999994</v>
      </c>
      <c r="P509" s="6">
        <v>45.926490399999999</v>
      </c>
      <c r="Q509" s="6">
        <v>54.859948099999997</v>
      </c>
      <c r="R509" s="6">
        <v>55.116198900000001</v>
      </c>
      <c r="S509" s="5">
        <v>0</v>
      </c>
      <c r="T509" s="5">
        <v>0</v>
      </c>
      <c r="U509" s="5">
        <v>0</v>
      </c>
    </row>
    <row r="510" spans="1:21" x14ac:dyDescent="0.3">
      <c r="A510" s="2" t="s">
        <v>56</v>
      </c>
      <c r="B510" s="2">
        <v>2010</v>
      </c>
      <c r="C510" s="2" t="s">
        <v>57</v>
      </c>
      <c r="D510" s="8">
        <v>1123.8674639999999</v>
      </c>
      <c r="E510" s="4">
        <f t="shared" si="8"/>
        <v>988103462.69402587</v>
      </c>
      <c r="F510" s="4">
        <v>1471740.657224651</v>
      </c>
      <c r="G510" s="4">
        <v>0</v>
      </c>
      <c r="H510" s="4"/>
      <c r="I510" s="4">
        <v>1471740.657224651</v>
      </c>
      <c r="J510" s="3">
        <v>6.8740658541614152</v>
      </c>
      <c r="K510" s="4">
        <v>1457.6056830959619</v>
      </c>
      <c r="L510" s="4">
        <v>14826463</v>
      </c>
      <c r="M510" s="3">
        <v>38.9390772</v>
      </c>
      <c r="N510" s="3">
        <v>40.788543300000001</v>
      </c>
      <c r="O510" s="3">
        <v>65.283464699999996</v>
      </c>
      <c r="P510" s="3">
        <v>48.683949899999988</v>
      </c>
      <c r="Q510" s="3">
        <v>54.680335499999998</v>
      </c>
      <c r="R510" s="3">
        <v>52.1034413</v>
      </c>
      <c r="S510" s="2">
        <v>0</v>
      </c>
      <c r="T510" s="2">
        <v>0</v>
      </c>
      <c r="U510" s="2">
        <v>0</v>
      </c>
    </row>
    <row r="511" spans="1:21" x14ac:dyDescent="0.3">
      <c r="A511" s="5" t="s">
        <v>56</v>
      </c>
      <c r="B511" s="5">
        <v>2011</v>
      </c>
      <c r="C511" s="5" t="s">
        <v>57</v>
      </c>
      <c r="D511" s="9">
        <v>876.18078800000001</v>
      </c>
      <c r="E511" s="7">
        <f t="shared" si="8"/>
        <v>770337516.03363454</v>
      </c>
      <c r="F511" s="7">
        <v>102769144.0783951</v>
      </c>
      <c r="G511" s="7">
        <v>15676.718634769801</v>
      </c>
      <c r="H511" s="7"/>
      <c r="I511" s="7">
        <v>102784820.7970299</v>
      </c>
      <c r="J511" s="6">
        <v>4.9326699981372846</v>
      </c>
      <c r="K511" s="7">
        <v>1516.211183191502</v>
      </c>
      <c r="L511" s="7">
        <v>15265022</v>
      </c>
      <c r="M511" s="6">
        <v>40.755119399999998</v>
      </c>
      <c r="N511" s="6">
        <v>39.985250499999999</v>
      </c>
      <c r="O511" s="6">
        <v>62.637502599999998</v>
      </c>
      <c r="P511" s="6">
        <v>47.273412399999998</v>
      </c>
      <c r="Q511" s="6">
        <v>53.681737699999999</v>
      </c>
      <c r="R511" s="6">
        <v>51.160877999999997</v>
      </c>
      <c r="S511" s="5">
        <v>0</v>
      </c>
      <c r="T511" s="5">
        <v>0</v>
      </c>
      <c r="U511" s="5">
        <v>0</v>
      </c>
    </row>
    <row r="512" spans="1:21" x14ac:dyDescent="0.3">
      <c r="A512" s="2" t="s">
        <v>56</v>
      </c>
      <c r="B512" s="2">
        <v>2012</v>
      </c>
      <c r="C512" s="2" t="s">
        <v>57</v>
      </c>
      <c r="D512" s="8">
        <v>1293.892321</v>
      </c>
      <c r="E512" s="4">
        <f t="shared" si="8"/>
        <v>1137589194.1768234</v>
      </c>
      <c r="F512" s="4">
        <v>11154173.800295521</v>
      </c>
      <c r="G512" s="4"/>
      <c r="H512" s="4"/>
      <c r="I512" s="4">
        <v>11154173.800295521</v>
      </c>
      <c r="J512" s="3">
        <v>1.900000000729094</v>
      </c>
      <c r="K512" s="4">
        <v>1464.0432395779601</v>
      </c>
      <c r="L512" s="4">
        <v>15709577</v>
      </c>
      <c r="M512" s="3">
        <v>37.866765699999988</v>
      </c>
      <c r="N512" s="3">
        <v>40.136307199999997</v>
      </c>
      <c r="O512" s="3">
        <v>64.423156699999993</v>
      </c>
      <c r="P512" s="3">
        <v>43.388566099999998</v>
      </c>
      <c r="Q512" s="3">
        <v>51.821530899999999</v>
      </c>
      <c r="R512" s="3">
        <v>52.789572100000001</v>
      </c>
      <c r="S512" s="2">
        <v>0</v>
      </c>
      <c r="T512" s="2">
        <v>0</v>
      </c>
      <c r="U512" s="2">
        <v>0</v>
      </c>
    </row>
    <row r="513" spans="1:21" x14ac:dyDescent="0.3">
      <c r="A513" s="5" t="s">
        <v>56</v>
      </c>
      <c r="B513" s="5">
        <v>2013</v>
      </c>
      <c r="C513" s="5" t="s">
        <v>57</v>
      </c>
      <c r="D513" s="9">
        <v>1259.6288010000001</v>
      </c>
      <c r="E513" s="7">
        <f t="shared" si="8"/>
        <v>1107464732.1378672</v>
      </c>
      <c r="F513" s="7">
        <v>81530519.391342342</v>
      </c>
      <c r="G513" s="7">
        <v>0</v>
      </c>
      <c r="H513" s="7"/>
      <c r="I513" s="7">
        <v>81530519.391342342</v>
      </c>
      <c r="J513" s="6">
        <v>5.4103499981716681</v>
      </c>
      <c r="K513" s="7">
        <v>1558.112247452033</v>
      </c>
      <c r="L513" s="7">
        <v>16161816</v>
      </c>
      <c r="M513" s="6">
        <v>34.836575600000003</v>
      </c>
      <c r="N513" s="6">
        <v>40.249148699999999</v>
      </c>
      <c r="O513" s="6">
        <v>62.423360799999998</v>
      </c>
      <c r="P513" s="6">
        <v>42.819878600000003</v>
      </c>
      <c r="Q513" s="6">
        <v>52.896645700000001</v>
      </c>
      <c r="R513" s="6">
        <v>52.627693299999997</v>
      </c>
      <c r="S513" s="5">
        <v>0</v>
      </c>
      <c r="T513" s="5">
        <v>0</v>
      </c>
      <c r="U513" s="5">
        <v>0</v>
      </c>
    </row>
    <row r="514" spans="1:21" x14ac:dyDescent="0.3">
      <c r="A514" s="2" t="s">
        <v>56</v>
      </c>
      <c r="B514" s="2">
        <v>2014</v>
      </c>
      <c r="C514" s="2" t="s">
        <v>57</v>
      </c>
      <c r="D514" s="8">
        <v>1100.5543990000001</v>
      </c>
      <c r="E514" s="4">
        <f t="shared" si="8"/>
        <v>967606632.7826736</v>
      </c>
      <c r="F514" s="4">
        <v>20116303.876531001</v>
      </c>
      <c r="G514" s="4"/>
      <c r="H514" s="4"/>
      <c r="I514" s="4">
        <v>20116303.876531001</v>
      </c>
      <c r="J514" s="3">
        <v>5.6252700010513914</v>
      </c>
      <c r="K514" s="4">
        <v>1505.5519040402439</v>
      </c>
      <c r="L514" s="4">
        <v>16621538</v>
      </c>
      <c r="M514" s="3">
        <v>31.2619732</v>
      </c>
      <c r="N514" s="3">
        <v>40.787450499999998</v>
      </c>
      <c r="O514" s="3">
        <v>65.403900199999995</v>
      </c>
      <c r="P514" s="3">
        <v>43.466416899999999</v>
      </c>
      <c r="Q514" s="3">
        <v>51.635999499999997</v>
      </c>
      <c r="R514" s="3">
        <v>54.0271416</v>
      </c>
      <c r="S514" s="2">
        <v>0</v>
      </c>
      <c r="T514" s="2">
        <v>0</v>
      </c>
      <c r="U514" s="2">
        <v>0</v>
      </c>
    </row>
    <row r="515" spans="1:21" x14ac:dyDescent="0.3">
      <c r="A515" s="5" t="s">
        <v>56</v>
      </c>
      <c r="B515" s="5">
        <v>2015</v>
      </c>
      <c r="C515" s="5" t="s">
        <v>57</v>
      </c>
      <c r="D515" s="9">
        <v>1318.7055250000001</v>
      </c>
      <c r="E515" s="7">
        <f t="shared" si="8"/>
        <v>1159404945.2135785</v>
      </c>
      <c r="F515" s="7">
        <v>76405156.74022536</v>
      </c>
      <c r="G515" s="7"/>
      <c r="H515" s="7"/>
      <c r="I515" s="7">
        <v>76405156.74022536</v>
      </c>
      <c r="J515" s="6">
        <v>2.800000000033549</v>
      </c>
      <c r="K515" s="7">
        <v>1403.084512092345</v>
      </c>
      <c r="L515" s="7">
        <v>17085587</v>
      </c>
      <c r="M515" s="6">
        <v>31.071559100000002</v>
      </c>
      <c r="N515" s="6">
        <v>39.955944500000001</v>
      </c>
      <c r="O515" s="6">
        <v>65.001780600000004</v>
      </c>
      <c r="P515" s="6">
        <v>43.038123499999998</v>
      </c>
      <c r="Q515" s="6">
        <v>51.456304299999999</v>
      </c>
      <c r="R515" s="6">
        <v>54.357653300000003</v>
      </c>
      <c r="S515" s="5">
        <v>0</v>
      </c>
      <c r="T515" s="5">
        <v>0</v>
      </c>
      <c r="U515" s="5">
        <v>0</v>
      </c>
    </row>
    <row r="516" spans="1:21" x14ac:dyDescent="0.3">
      <c r="A516" s="2" t="s">
        <v>56</v>
      </c>
      <c r="B516" s="2">
        <v>2016</v>
      </c>
      <c r="C516" s="2" t="s">
        <v>57</v>
      </c>
      <c r="D516" s="8">
        <v>1570.7825049999999</v>
      </c>
      <c r="E516" s="4">
        <f t="shared" si="8"/>
        <v>1381030843.9801011</v>
      </c>
      <c r="F516" s="4">
        <v>75062163.645661086</v>
      </c>
      <c r="G516" s="4">
        <v>0</v>
      </c>
      <c r="H516" s="4"/>
      <c r="I516" s="4">
        <v>75062163.645661086</v>
      </c>
      <c r="J516" s="3">
        <v>2.4999999991431139</v>
      </c>
      <c r="K516" s="4">
        <v>1409.958027035326</v>
      </c>
      <c r="L516" s="4">
        <v>17557739</v>
      </c>
      <c r="M516" s="3">
        <v>31.099765699999999</v>
      </c>
      <c r="N516" s="3">
        <v>39.499991999999999</v>
      </c>
      <c r="O516" s="3">
        <v>61.490753299999987</v>
      </c>
      <c r="P516" s="3">
        <v>43.168460099999997</v>
      </c>
      <c r="Q516" s="3">
        <v>51.053028300000001</v>
      </c>
      <c r="R516" s="3">
        <v>53.467625499999997</v>
      </c>
      <c r="S516" s="2">
        <v>0</v>
      </c>
      <c r="T516" s="2">
        <v>0</v>
      </c>
      <c r="U516" s="2">
        <v>0</v>
      </c>
    </row>
    <row r="517" spans="1:21" x14ac:dyDescent="0.3">
      <c r="A517" s="5" t="s">
        <v>56</v>
      </c>
      <c r="B517" s="5">
        <v>2017</v>
      </c>
      <c r="C517" s="5" t="s">
        <v>57</v>
      </c>
      <c r="D517" s="9">
        <v>1878.0459920000001</v>
      </c>
      <c r="E517" s="7">
        <f t="shared" si="8"/>
        <v>1651176679.8454421</v>
      </c>
      <c r="F517" s="7">
        <v>203829.95750632859</v>
      </c>
      <c r="G517" s="7">
        <v>170528.641025333</v>
      </c>
      <c r="H517" s="7">
        <v>23046763.140419401</v>
      </c>
      <c r="I517" s="7">
        <v>23421121.738951061</v>
      </c>
      <c r="J517" s="6">
        <v>4.0000000008917169</v>
      </c>
      <c r="K517" s="7">
        <v>1380.232636217371</v>
      </c>
      <c r="L517" s="7">
        <v>18039715</v>
      </c>
      <c r="M517" s="6">
        <v>33.378725600000003</v>
      </c>
      <c r="N517" s="6">
        <v>40.097508599999998</v>
      </c>
      <c r="O517" s="6">
        <v>60.547836999999987</v>
      </c>
      <c r="P517" s="6">
        <v>44.062496199999998</v>
      </c>
      <c r="Q517" s="6">
        <v>52.483218800000003</v>
      </c>
      <c r="R517" s="6">
        <v>53.040799300000003</v>
      </c>
      <c r="S517" s="5">
        <v>0</v>
      </c>
      <c r="T517" s="5">
        <v>0</v>
      </c>
      <c r="U517" s="5">
        <v>0</v>
      </c>
    </row>
    <row r="518" spans="1:21" x14ac:dyDescent="0.3">
      <c r="A518" s="2" t="s">
        <v>56</v>
      </c>
      <c r="B518" s="2">
        <v>2018</v>
      </c>
      <c r="C518" s="2" t="s">
        <v>57</v>
      </c>
      <c r="D518" s="8">
        <v>1558.158801</v>
      </c>
      <c r="E518" s="4">
        <f t="shared" si="8"/>
        <v>1369932092.5401144</v>
      </c>
      <c r="F518" s="4">
        <v>25838962.21241834</v>
      </c>
      <c r="G518" s="4">
        <v>48607298.755388901</v>
      </c>
      <c r="H518" s="4"/>
      <c r="I518" s="4">
        <v>74446260.967807248</v>
      </c>
      <c r="J518" s="3">
        <v>4.3535647161921096</v>
      </c>
      <c r="K518" s="4">
        <v>1363.794455950881</v>
      </c>
      <c r="L518" s="4">
        <v>18528081</v>
      </c>
      <c r="M518" s="3">
        <v>31.313824</v>
      </c>
      <c r="N518" s="3">
        <v>39.0186183</v>
      </c>
      <c r="O518" s="3">
        <v>59.238050599999987</v>
      </c>
      <c r="P518" s="3">
        <v>44.267305499999999</v>
      </c>
      <c r="Q518" s="3">
        <v>51.928283800000003</v>
      </c>
      <c r="R518" s="3">
        <v>52.926705800000001</v>
      </c>
      <c r="S518" s="2">
        <v>0</v>
      </c>
      <c r="T518" s="2">
        <v>0</v>
      </c>
      <c r="U518" s="2">
        <v>0</v>
      </c>
    </row>
    <row r="519" spans="1:21" x14ac:dyDescent="0.3">
      <c r="A519" s="5" t="s">
        <v>56</v>
      </c>
      <c r="B519" s="5">
        <v>2019</v>
      </c>
      <c r="C519" s="5" t="s">
        <v>57</v>
      </c>
      <c r="D519" s="9">
        <v>1399.397952</v>
      </c>
      <c r="E519" s="7">
        <f t="shared" si="8"/>
        <v>1230349668.7560735</v>
      </c>
      <c r="F519" s="7">
        <v>4945861.8435107926</v>
      </c>
      <c r="G519" s="7"/>
      <c r="H519" s="7">
        <v>63940484.599122703</v>
      </c>
      <c r="I519" s="7">
        <v>68886346.442633495</v>
      </c>
      <c r="J519" s="6">
        <v>5.7168251919433706</v>
      </c>
      <c r="K519" s="7">
        <v>1450.0100806478349</v>
      </c>
      <c r="L519" s="7">
        <v>19025752</v>
      </c>
      <c r="M519" s="6">
        <v>31.6146192</v>
      </c>
      <c r="N519" s="6">
        <v>38.001161400000001</v>
      </c>
      <c r="O519" s="6">
        <v>61.069674799999987</v>
      </c>
      <c r="P519" s="6">
        <v>44.404614600000002</v>
      </c>
      <c r="Q519" s="6">
        <v>51.718875999999987</v>
      </c>
      <c r="R519" s="6">
        <v>52.073443699999999</v>
      </c>
      <c r="S519" s="5">
        <v>0</v>
      </c>
      <c r="T519" s="5">
        <v>0</v>
      </c>
      <c r="U519" s="5">
        <v>0</v>
      </c>
    </row>
    <row r="520" spans="1:21" x14ac:dyDescent="0.3">
      <c r="A520" s="2" t="s">
        <v>56</v>
      </c>
      <c r="B520" s="2">
        <v>2020</v>
      </c>
      <c r="C520" s="2" t="s">
        <v>57</v>
      </c>
      <c r="D520" s="8">
        <v>1722.6694520000001</v>
      </c>
      <c r="E520" s="4">
        <f t="shared" si="8"/>
        <v>1514569738.0900602</v>
      </c>
      <c r="F520" s="4">
        <v>113505386.4327374</v>
      </c>
      <c r="G520" s="4"/>
      <c r="H520" s="4">
        <v>68428603.136275902</v>
      </c>
      <c r="I520" s="4">
        <v>181933989.5690133</v>
      </c>
      <c r="J520" s="3">
        <v>0.79359642978728573</v>
      </c>
      <c r="K520" s="4">
        <v>1513.459908033444</v>
      </c>
      <c r="L520" s="4">
        <v>19533888</v>
      </c>
      <c r="M520" s="3">
        <v>38.168042799999988</v>
      </c>
      <c r="N520" s="3">
        <v>36.788254999999999</v>
      </c>
      <c r="O520" s="3">
        <v>64.585659100000001</v>
      </c>
      <c r="P520" s="3">
        <v>43.295582499999988</v>
      </c>
      <c r="Q520" s="3">
        <v>52.4438046</v>
      </c>
      <c r="R520" s="3">
        <v>55.3580641</v>
      </c>
      <c r="S520" s="2">
        <v>0</v>
      </c>
      <c r="T520" s="2">
        <v>0</v>
      </c>
      <c r="U520" s="2">
        <v>0</v>
      </c>
    </row>
    <row r="521" spans="1:21" x14ac:dyDescent="0.3">
      <c r="A521" s="5" t="s">
        <v>56</v>
      </c>
      <c r="B521" s="5">
        <v>2021</v>
      </c>
      <c r="C521" s="5" t="s">
        <v>57</v>
      </c>
      <c r="D521" s="9">
        <v>1310.3043130000001</v>
      </c>
      <c r="E521" s="7">
        <f t="shared" si="8"/>
        <v>1152018605.6905165</v>
      </c>
      <c r="F521" s="7">
        <v>31066813.583091252</v>
      </c>
      <c r="G521" s="7"/>
      <c r="H521" s="7">
        <v>66000000</v>
      </c>
      <c r="I521" s="7">
        <v>97066813.583091259</v>
      </c>
      <c r="J521" s="6">
        <v>4.5582921201608286</v>
      </c>
      <c r="K521" s="7">
        <v>1687.5935817965069</v>
      </c>
      <c r="L521" s="7">
        <v>20047258</v>
      </c>
      <c r="M521" s="6">
        <v>39.1181865</v>
      </c>
      <c r="N521" s="6">
        <v>38.123139500000001</v>
      </c>
      <c r="O521" s="6">
        <v>64.137661699999995</v>
      </c>
      <c r="P521" s="6">
        <v>43.903808900000001</v>
      </c>
      <c r="Q521" s="6">
        <v>52.740281299999999</v>
      </c>
      <c r="R521" s="6">
        <v>55.523949199999997</v>
      </c>
      <c r="S521" s="5">
        <v>0</v>
      </c>
      <c r="T521" s="5">
        <v>0</v>
      </c>
      <c r="U521" s="5">
        <v>0</v>
      </c>
    </row>
    <row r="522" spans="1:21" x14ac:dyDescent="0.3">
      <c r="A522" s="5" t="s">
        <v>58</v>
      </c>
      <c r="B522" s="5">
        <v>2002</v>
      </c>
      <c r="C522" s="5" t="s">
        <v>59</v>
      </c>
      <c r="D522" s="9">
        <v>735.00705400000004</v>
      </c>
      <c r="E522" s="7">
        <f t="shared" si="8"/>
        <v>646217671.05621529</v>
      </c>
      <c r="F522" s="7"/>
      <c r="G522" s="7"/>
      <c r="H522" s="7"/>
      <c r="I522" s="7"/>
      <c r="J522" s="6">
        <v>3.0362754084240611</v>
      </c>
      <c r="K522" s="7">
        <v>1581.1110869134291</v>
      </c>
      <c r="L522" s="7">
        <v>12288050</v>
      </c>
      <c r="M522" s="6">
        <v>32.950281199999999</v>
      </c>
      <c r="N522" s="6">
        <v>35.575465399999999</v>
      </c>
      <c r="O522" s="6">
        <v>68.806956499999998</v>
      </c>
      <c r="P522" s="6">
        <v>46.678927599999987</v>
      </c>
      <c r="Q522" s="6">
        <v>51.4196989</v>
      </c>
      <c r="R522" s="6">
        <v>58.982374499999999</v>
      </c>
      <c r="S522" s="5">
        <v>0</v>
      </c>
      <c r="T522" s="5">
        <v>0</v>
      </c>
      <c r="U522" s="5">
        <v>0</v>
      </c>
    </row>
    <row r="523" spans="1:21" x14ac:dyDescent="0.3">
      <c r="A523" s="2" t="s">
        <v>58</v>
      </c>
      <c r="B523" s="2">
        <v>2003</v>
      </c>
      <c r="C523" s="2" t="s">
        <v>59</v>
      </c>
      <c r="D523" s="8">
        <v>840.74100899999996</v>
      </c>
      <c r="E523" s="4">
        <f t="shared" si="8"/>
        <v>739178887.93137014</v>
      </c>
      <c r="F523" s="4">
        <v>0</v>
      </c>
      <c r="G523" s="4"/>
      <c r="H523" s="4"/>
      <c r="I523" s="4">
        <v>0</v>
      </c>
      <c r="J523" s="3">
        <v>9.7971225612934347</v>
      </c>
      <c r="K523" s="4">
        <v>1714.89753907761</v>
      </c>
      <c r="L523" s="4">
        <v>12684955</v>
      </c>
      <c r="M523" s="3">
        <v>33.651049200000003</v>
      </c>
      <c r="N523" s="3">
        <v>30.424557799999999</v>
      </c>
      <c r="O523" s="3">
        <v>67.201588399999991</v>
      </c>
      <c r="P523" s="3">
        <v>46.871630699999997</v>
      </c>
      <c r="Q523" s="3">
        <v>53.888357399999997</v>
      </c>
      <c r="R523" s="3">
        <v>60.110478200000003</v>
      </c>
      <c r="S523" s="2">
        <v>0</v>
      </c>
      <c r="T523" s="2">
        <v>0</v>
      </c>
      <c r="U523" s="2">
        <v>0</v>
      </c>
    </row>
    <row r="524" spans="1:21" x14ac:dyDescent="0.3">
      <c r="A524" s="5" t="s">
        <v>58</v>
      </c>
      <c r="B524" s="5">
        <v>2004</v>
      </c>
      <c r="C524" s="5" t="s">
        <v>59</v>
      </c>
      <c r="D524" s="9">
        <v>875.50803599999995</v>
      </c>
      <c r="E524" s="7">
        <f t="shared" si="8"/>
        <v>769746032.96109462</v>
      </c>
      <c r="F524" s="7">
        <v>16373266.134459</v>
      </c>
      <c r="G524" s="7"/>
      <c r="H524" s="7"/>
      <c r="I524" s="7">
        <v>16373266.134459</v>
      </c>
      <c r="J524" s="6">
        <v>1.4773249022261441</v>
      </c>
      <c r="K524" s="7">
        <v>1730.092251630396</v>
      </c>
      <c r="L524" s="7">
        <v>13102409</v>
      </c>
      <c r="M524" s="6">
        <v>36.953467699999997</v>
      </c>
      <c r="N524" s="6">
        <v>31.892184700000001</v>
      </c>
      <c r="O524" s="6">
        <v>71.478788600000001</v>
      </c>
      <c r="P524" s="6">
        <v>47.137935900000002</v>
      </c>
      <c r="Q524" s="6">
        <v>50.702867900000001</v>
      </c>
      <c r="R524" s="6">
        <v>60.796150399999988</v>
      </c>
      <c r="S524" s="5">
        <v>0</v>
      </c>
      <c r="T524" s="5">
        <v>0</v>
      </c>
      <c r="U524" s="5">
        <v>0</v>
      </c>
    </row>
    <row r="525" spans="1:21" x14ac:dyDescent="0.3">
      <c r="A525" s="2" t="s">
        <v>58</v>
      </c>
      <c r="B525" s="2">
        <v>2005</v>
      </c>
      <c r="C525" s="2" t="s">
        <v>59</v>
      </c>
      <c r="D525" s="8">
        <v>957.28097100000002</v>
      </c>
      <c r="E525" s="4">
        <f t="shared" si="8"/>
        <v>841640738.35684907</v>
      </c>
      <c r="F525" s="4">
        <v>18700161.971425001</v>
      </c>
      <c r="G525" s="4"/>
      <c r="H525" s="4"/>
      <c r="I525" s="4">
        <v>18700161.971425001</v>
      </c>
      <c r="J525" s="3">
        <v>2.538378348671785</v>
      </c>
      <c r="K525" s="4">
        <v>1770.677954359074</v>
      </c>
      <c r="L525" s="4">
        <v>13538647</v>
      </c>
      <c r="M525" s="3">
        <v>37.331530999999998</v>
      </c>
      <c r="N525" s="3">
        <v>34.082258000000003</v>
      </c>
      <c r="O525" s="3">
        <v>68.932885400000004</v>
      </c>
      <c r="P525" s="3">
        <v>48.470068900000001</v>
      </c>
      <c r="Q525" s="3">
        <v>52.841864000000001</v>
      </c>
      <c r="R525" s="3">
        <v>60.439750699999998</v>
      </c>
      <c r="S525" s="2">
        <v>0</v>
      </c>
      <c r="T525" s="2">
        <v>0</v>
      </c>
      <c r="U525" s="2">
        <v>0</v>
      </c>
    </row>
    <row r="526" spans="1:21" x14ac:dyDescent="0.3">
      <c r="A526" s="5" t="s">
        <v>58</v>
      </c>
      <c r="B526" s="5">
        <v>2006</v>
      </c>
      <c r="C526" s="5" t="s">
        <v>59</v>
      </c>
      <c r="D526" s="9">
        <v>3479.4990200000002</v>
      </c>
      <c r="E526" s="7">
        <f t="shared" si="8"/>
        <v>3059173025.4969549</v>
      </c>
      <c r="F526" s="7">
        <v>0</v>
      </c>
      <c r="G526" s="7"/>
      <c r="H526" s="7"/>
      <c r="I526" s="7">
        <v>0</v>
      </c>
      <c r="J526" s="6">
        <v>3.6896026526872991</v>
      </c>
      <c r="K526" s="7">
        <v>1831.549245440696</v>
      </c>
      <c r="L526" s="7">
        <v>13990139</v>
      </c>
      <c r="M526" s="6">
        <v>37.984504700000002</v>
      </c>
      <c r="N526" s="6">
        <v>33.514271000000001</v>
      </c>
      <c r="O526" s="6">
        <v>74.175260999999992</v>
      </c>
      <c r="P526" s="6">
        <v>48.381671699999998</v>
      </c>
      <c r="Q526" s="6">
        <v>52.353203999999998</v>
      </c>
      <c r="R526" s="6">
        <v>61.389722799999987</v>
      </c>
      <c r="S526" s="5">
        <v>0</v>
      </c>
      <c r="T526" s="5">
        <v>0</v>
      </c>
      <c r="U526" s="5">
        <v>0</v>
      </c>
    </row>
    <row r="527" spans="1:21" x14ac:dyDescent="0.3">
      <c r="A527" s="2" t="s">
        <v>58</v>
      </c>
      <c r="B527" s="2">
        <v>2007</v>
      </c>
      <c r="C527" s="2" t="s">
        <v>59</v>
      </c>
      <c r="D527" s="8">
        <v>1101.6367749999999</v>
      </c>
      <c r="E527" s="4">
        <f t="shared" si="8"/>
        <v>968558256.98018384</v>
      </c>
      <c r="F527" s="4">
        <v>166085328.51199281</v>
      </c>
      <c r="G527" s="4"/>
      <c r="H527" s="4">
        <v>0</v>
      </c>
      <c r="I527" s="4">
        <v>166085328.51199281</v>
      </c>
      <c r="J527" s="3">
        <v>1.760046078891222</v>
      </c>
      <c r="K527" s="4">
        <v>1852.3628255546421</v>
      </c>
      <c r="L527" s="4">
        <v>14457775</v>
      </c>
      <c r="M527" s="3">
        <v>37.599939800000001</v>
      </c>
      <c r="N527" s="3">
        <v>34.540788800000001</v>
      </c>
      <c r="O527" s="3">
        <v>71.94632399999999</v>
      </c>
      <c r="P527" s="3">
        <v>49.707710599999999</v>
      </c>
      <c r="Q527" s="3">
        <v>54.639451399999999</v>
      </c>
      <c r="R527" s="3">
        <v>60.855548599999999</v>
      </c>
      <c r="S527" s="2">
        <v>1</v>
      </c>
      <c r="T527" s="2">
        <v>1</v>
      </c>
      <c r="U527" s="2">
        <v>0</v>
      </c>
    </row>
    <row r="528" spans="1:21" x14ac:dyDescent="0.3">
      <c r="A528" s="5" t="s">
        <v>58</v>
      </c>
      <c r="B528" s="5">
        <v>2008</v>
      </c>
      <c r="C528" s="5" t="s">
        <v>59</v>
      </c>
      <c r="D528" s="9">
        <v>1006.583152</v>
      </c>
      <c r="E528" s="7">
        <f t="shared" si="8"/>
        <v>884987180.28611517</v>
      </c>
      <c r="F528" s="7">
        <v>121228123.179214</v>
      </c>
      <c r="G528" s="7">
        <v>0</v>
      </c>
      <c r="H528" s="7">
        <v>0</v>
      </c>
      <c r="I528" s="7">
        <v>121228123.179214</v>
      </c>
      <c r="J528" s="6">
        <v>3.6387107095542599</v>
      </c>
      <c r="K528" s="7">
        <v>1893.495145284345</v>
      </c>
      <c r="L528" s="7">
        <v>14940782</v>
      </c>
      <c r="M528" s="6">
        <v>36.411199000000003</v>
      </c>
      <c r="N528" s="6">
        <v>35.126102400000001</v>
      </c>
      <c r="O528" s="6">
        <v>71.126111699999996</v>
      </c>
      <c r="P528" s="6">
        <v>49.318596599999999</v>
      </c>
      <c r="Q528" s="6">
        <v>50.623128999999999</v>
      </c>
      <c r="R528" s="6">
        <v>59.978474400000003</v>
      </c>
      <c r="S528" s="5">
        <v>1</v>
      </c>
      <c r="T528" s="5">
        <v>1</v>
      </c>
      <c r="U528" s="5">
        <v>0</v>
      </c>
    </row>
    <row r="529" spans="1:21" x14ac:dyDescent="0.3">
      <c r="A529" s="2" t="s">
        <v>58</v>
      </c>
      <c r="B529" s="2">
        <v>2009</v>
      </c>
      <c r="C529" s="2" t="s">
        <v>59</v>
      </c>
      <c r="D529" s="8">
        <v>1101.1302169999999</v>
      </c>
      <c r="E529" s="4">
        <f t="shared" si="8"/>
        <v>968112891.55241883</v>
      </c>
      <c r="F529" s="4">
        <v>1161452.540561835</v>
      </c>
      <c r="G529" s="4"/>
      <c r="H529" s="4">
        <v>0</v>
      </c>
      <c r="I529" s="4">
        <v>1161452.540561835</v>
      </c>
      <c r="J529" s="3">
        <v>5.4547356257758537</v>
      </c>
      <c r="K529" s="4">
        <v>1944.698282290924</v>
      </c>
      <c r="L529" s="4">
        <v>15435539</v>
      </c>
      <c r="M529" s="3">
        <v>37.481458000000003</v>
      </c>
      <c r="N529" s="3">
        <v>35.691555899999997</v>
      </c>
      <c r="O529" s="3">
        <v>68.922479299999992</v>
      </c>
      <c r="P529" s="3">
        <v>48.684479799999998</v>
      </c>
      <c r="Q529" s="3">
        <v>51.6374779</v>
      </c>
      <c r="R529" s="3">
        <v>58.263279500000003</v>
      </c>
      <c r="S529" s="2">
        <v>1</v>
      </c>
      <c r="T529" s="2">
        <v>1</v>
      </c>
      <c r="U529" s="2">
        <v>0</v>
      </c>
    </row>
    <row r="530" spans="1:21" x14ac:dyDescent="0.3">
      <c r="A530" s="5" t="s">
        <v>58</v>
      </c>
      <c r="B530" s="5">
        <v>2010</v>
      </c>
      <c r="C530" s="5" t="s">
        <v>59</v>
      </c>
      <c r="D530" s="9">
        <v>1243.902098</v>
      </c>
      <c r="E530" s="7">
        <f t="shared" si="8"/>
        <v>1093637826.21806</v>
      </c>
      <c r="F530" s="7">
        <v>211920457.45493099</v>
      </c>
      <c r="G530" s="7">
        <v>0</v>
      </c>
      <c r="H530" s="7"/>
      <c r="I530" s="7">
        <v>211920457.45493099</v>
      </c>
      <c r="J530" s="6">
        <v>5.5767885983806167</v>
      </c>
      <c r="K530" s="7">
        <v>2011.678946124752</v>
      </c>
      <c r="L530" s="7">
        <v>15945198</v>
      </c>
      <c r="M530" s="6">
        <v>36.096848000000001</v>
      </c>
      <c r="N530" s="6">
        <v>33.365773099999998</v>
      </c>
      <c r="O530" s="6">
        <v>63.668284999999997</v>
      </c>
      <c r="P530" s="6">
        <v>46.700550200000002</v>
      </c>
      <c r="Q530" s="6">
        <v>49.761526799999999</v>
      </c>
      <c r="R530" s="6">
        <v>57.355742199999987</v>
      </c>
      <c r="S530" s="5">
        <v>0</v>
      </c>
      <c r="T530" s="5">
        <v>0</v>
      </c>
      <c r="U530" s="5">
        <v>0</v>
      </c>
    </row>
    <row r="531" spans="1:21" x14ac:dyDescent="0.3">
      <c r="A531" s="2" t="s">
        <v>58</v>
      </c>
      <c r="B531" s="2">
        <v>2011</v>
      </c>
      <c r="C531" s="2" t="s">
        <v>59</v>
      </c>
      <c r="D531" s="8">
        <v>1393.357231</v>
      </c>
      <c r="E531" s="4">
        <f t="shared" si="8"/>
        <v>1225038671.2154696</v>
      </c>
      <c r="F531" s="4">
        <v>135106360.2089192</v>
      </c>
      <c r="G531" s="4">
        <v>2867668.8814280899</v>
      </c>
      <c r="H531" s="4">
        <v>0</v>
      </c>
      <c r="I531" s="4">
        <v>137974029.09034729</v>
      </c>
      <c r="J531" s="3">
        <v>2.9353789708644631</v>
      </c>
      <c r="K531" s="4">
        <v>2046.2256706438829</v>
      </c>
      <c r="L531" s="4">
        <v>16469049</v>
      </c>
      <c r="M531" s="3">
        <v>37.003342799999999</v>
      </c>
      <c r="N531" s="3">
        <v>35.353758900000003</v>
      </c>
      <c r="O531" s="3">
        <v>52.707476399999997</v>
      </c>
      <c r="P531" s="3">
        <v>47.4398056</v>
      </c>
      <c r="Q531" s="3">
        <v>49.011515299999999</v>
      </c>
      <c r="R531" s="3">
        <v>57.383501099999997</v>
      </c>
      <c r="S531" s="2">
        <v>0</v>
      </c>
      <c r="T531" s="2">
        <v>0</v>
      </c>
      <c r="U531" s="2">
        <v>0</v>
      </c>
    </row>
    <row r="532" spans="1:21" x14ac:dyDescent="0.3">
      <c r="A532" s="5" t="s">
        <v>58</v>
      </c>
      <c r="B532" s="5">
        <v>2012</v>
      </c>
      <c r="C532" s="5" t="s">
        <v>59</v>
      </c>
      <c r="D532" s="9">
        <v>1202.5500589999999</v>
      </c>
      <c r="E532" s="7">
        <f t="shared" si="8"/>
        <v>1057281143.3936174</v>
      </c>
      <c r="F532" s="7">
        <v>16642152.53987745</v>
      </c>
      <c r="G532" s="7"/>
      <c r="H532" s="7"/>
      <c r="I532" s="7">
        <v>16642152.53987745</v>
      </c>
      <c r="J532" s="6">
        <v>-1.0723992413297201</v>
      </c>
      <c r="K532" s="7">
        <v>1990.1480524109179</v>
      </c>
      <c r="L532" s="7">
        <v>16957033</v>
      </c>
      <c r="M532" s="6">
        <v>34.370913000000002</v>
      </c>
      <c r="N532" s="6">
        <v>33.644619800000001</v>
      </c>
      <c r="O532" s="6">
        <v>32.355263700000002</v>
      </c>
      <c r="P532" s="6">
        <v>46.568257899999999</v>
      </c>
      <c r="Q532" s="6">
        <v>44.061315999999998</v>
      </c>
      <c r="R532" s="6">
        <v>48.840103900000003</v>
      </c>
      <c r="S532" s="5">
        <v>1</v>
      </c>
      <c r="T532" s="5">
        <v>1</v>
      </c>
      <c r="U532" s="5">
        <v>0</v>
      </c>
    </row>
    <row r="533" spans="1:21" x14ac:dyDescent="0.3">
      <c r="A533" s="2" t="s">
        <v>58</v>
      </c>
      <c r="B533" s="2">
        <v>2013</v>
      </c>
      <c r="C533" s="2" t="s">
        <v>59</v>
      </c>
      <c r="D533" s="8">
        <v>1538.0582999999999</v>
      </c>
      <c r="E533" s="4">
        <f t="shared" si="8"/>
        <v>1352259746.5774548</v>
      </c>
      <c r="F533" s="4">
        <v>17924808.750145581</v>
      </c>
      <c r="G533" s="4">
        <v>390095476.87978297</v>
      </c>
      <c r="H533" s="4">
        <v>0</v>
      </c>
      <c r="I533" s="4">
        <v>408020285.62992859</v>
      </c>
      <c r="J533" s="3">
        <v>3.29068742019345</v>
      </c>
      <c r="K533" s="4">
        <v>2059.2840764188099</v>
      </c>
      <c r="L533" s="4">
        <v>17459615</v>
      </c>
      <c r="M533" s="3">
        <v>35.719011399999999</v>
      </c>
      <c r="N533" s="3">
        <v>34.755549999999999</v>
      </c>
      <c r="O533" s="3">
        <v>37.772865799999998</v>
      </c>
      <c r="P533" s="3">
        <v>44.914675000000003</v>
      </c>
      <c r="Q533" s="3">
        <v>42.815464200000001</v>
      </c>
      <c r="R533" s="3">
        <v>50.457125599999998</v>
      </c>
      <c r="S533" s="2">
        <v>1</v>
      </c>
      <c r="T533" s="2">
        <v>1</v>
      </c>
      <c r="U533" s="2">
        <v>0</v>
      </c>
    </row>
    <row r="534" spans="1:21" x14ac:dyDescent="0.3">
      <c r="A534" s="5" t="s">
        <v>58</v>
      </c>
      <c r="B534" s="5">
        <v>2014</v>
      </c>
      <c r="C534" s="5" t="s">
        <v>59</v>
      </c>
      <c r="D534" s="9">
        <v>1384.8283630000001</v>
      </c>
      <c r="E534" s="7">
        <f t="shared" si="8"/>
        <v>1217540096.6294007</v>
      </c>
      <c r="F534" s="7">
        <v>224112923.93118531</v>
      </c>
      <c r="G534" s="7"/>
      <c r="H534" s="7"/>
      <c r="I534" s="7">
        <v>224112923.93118531</v>
      </c>
      <c r="J534" s="6">
        <v>6.5026387840968454</v>
      </c>
      <c r="K534" s="7">
        <v>2184.8766028166569</v>
      </c>
      <c r="L534" s="7">
        <v>18020267</v>
      </c>
      <c r="M534" s="6">
        <v>34.847105300000003</v>
      </c>
      <c r="N534" s="6">
        <v>30.924757199999998</v>
      </c>
      <c r="O534" s="6">
        <v>38.7345769</v>
      </c>
      <c r="P534" s="6">
        <v>44.640028299999997</v>
      </c>
      <c r="Q534" s="6">
        <v>44.8517382</v>
      </c>
      <c r="R534" s="6">
        <v>52.796352499999998</v>
      </c>
      <c r="S534" s="5">
        <v>1</v>
      </c>
      <c r="T534" s="5">
        <v>1</v>
      </c>
      <c r="U534" s="5">
        <v>0</v>
      </c>
    </row>
    <row r="535" spans="1:21" x14ac:dyDescent="0.3">
      <c r="A535" s="2" t="s">
        <v>58</v>
      </c>
      <c r="B535" s="2">
        <v>2015</v>
      </c>
      <c r="C535" s="2" t="s">
        <v>59</v>
      </c>
      <c r="D535" s="8">
        <v>1542.5206330000001</v>
      </c>
      <c r="E535" s="4">
        <f t="shared" si="8"/>
        <v>1356183026.5283673</v>
      </c>
      <c r="F535" s="4">
        <v>15373494.355163399</v>
      </c>
      <c r="G535" s="4">
        <v>8978.2045566316192</v>
      </c>
      <c r="H535" s="4"/>
      <c r="I535" s="4">
        <v>15382472.55972003</v>
      </c>
      <c r="J535" s="3">
        <v>6.2388789019745454</v>
      </c>
      <c r="K535" s="4">
        <v>2330.2429394769201</v>
      </c>
      <c r="L535" s="4">
        <v>18593022</v>
      </c>
      <c r="M535" s="3">
        <v>35.087754799999999</v>
      </c>
      <c r="N535" s="3">
        <v>33.095407899999998</v>
      </c>
      <c r="O535" s="3">
        <v>39.356533400000004</v>
      </c>
      <c r="P535" s="3">
        <v>46.802687499999998</v>
      </c>
      <c r="Q535" s="3">
        <v>44.018972499999997</v>
      </c>
      <c r="R535" s="3">
        <v>50.923909999999999</v>
      </c>
      <c r="S535" s="2">
        <v>1</v>
      </c>
      <c r="T535" s="2">
        <v>1</v>
      </c>
      <c r="U535" s="2">
        <v>0</v>
      </c>
    </row>
    <row r="536" spans="1:21" x14ac:dyDescent="0.3">
      <c r="A536" s="5" t="s">
        <v>58</v>
      </c>
      <c r="B536" s="5">
        <v>2016</v>
      </c>
      <c r="C536" s="5" t="s">
        <v>59</v>
      </c>
      <c r="D536" s="9">
        <v>1540.2188169999999</v>
      </c>
      <c r="E536" s="7">
        <f t="shared" si="8"/>
        <v>1354159271.5635338</v>
      </c>
      <c r="F536" s="7">
        <v>7107856.0684564104</v>
      </c>
      <c r="G536" s="7"/>
      <c r="H536" s="7"/>
      <c r="I536" s="7">
        <v>7107856.0684564104</v>
      </c>
      <c r="J536" s="6">
        <v>6.0050630855949834</v>
      </c>
      <c r="K536" s="7">
        <v>2531.8049696348198</v>
      </c>
      <c r="L536" s="7">
        <v>19191289</v>
      </c>
      <c r="M536" s="6">
        <v>34.786026399999997</v>
      </c>
      <c r="N536" s="6">
        <v>33.265045299999997</v>
      </c>
      <c r="O536" s="6">
        <v>39.693235600000001</v>
      </c>
      <c r="P536" s="6">
        <v>46.007629700000003</v>
      </c>
      <c r="Q536" s="6">
        <v>43.911422799999997</v>
      </c>
      <c r="R536" s="6">
        <v>50.953828799999997</v>
      </c>
      <c r="S536" s="5">
        <v>1</v>
      </c>
      <c r="T536" s="5">
        <v>1</v>
      </c>
      <c r="U536" s="5">
        <v>0</v>
      </c>
    </row>
    <row r="537" spans="1:21" x14ac:dyDescent="0.3">
      <c r="A537" s="2" t="s">
        <v>58</v>
      </c>
      <c r="B537" s="2">
        <v>2017</v>
      </c>
      <c r="C537" s="2" t="s">
        <v>59</v>
      </c>
      <c r="D537" s="8">
        <v>1689.0545609999999</v>
      </c>
      <c r="E537" s="4">
        <f t="shared" si="8"/>
        <v>1485015550.1994653</v>
      </c>
      <c r="F537" s="4">
        <v>76737888.461399645</v>
      </c>
      <c r="G537" s="4"/>
      <c r="H537" s="4">
        <v>62754.539897322502</v>
      </c>
      <c r="I537" s="4">
        <v>76800643.001296967</v>
      </c>
      <c r="J537" s="3">
        <v>5.3755476963995221</v>
      </c>
      <c r="K537" s="4">
        <v>2606.696079541407</v>
      </c>
      <c r="L537" s="4">
        <v>19813011</v>
      </c>
      <c r="M537" s="3">
        <v>33.544586799999998</v>
      </c>
      <c r="N537" s="3">
        <v>34.385528299999997</v>
      </c>
      <c r="O537" s="3">
        <v>36.537247700000002</v>
      </c>
      <c r="P537" s="3">
        <v>45.946580099999998</v>
      </c>
      <c r="Q537" s="3">
        <v>43.978611699999988</v>
      </c>
      <c r="R537" s="3">
        <v>50.422608999999987</v>
      </c>
      <c r="S537" s="2">
        <v>1</v>
      </c>
      <c r="T537" s="2">
        <v>1</v>
      </c>
      <c r="U537" s="2">
        <v>0</v>
      </c>
    </row>
    <row r="538" spans="1:21" x14ac:dyDescent="0.3">
      <c r="A538" s="5" t="s">
        <v>58</v>
      </c>
      <c r="B538" s="5">
        <v>2018</v>
      </c>
      <c r="C538" s="5" t="s">
        <v>59</v>
      </c>
      <c r="D538" s="9">
        <v>1872.547877</v>
      </c>
      <c r="E538" s="7">
        <f t="shared" si="8"/>
        <v>1646342741.1081693</v>
      </c>
      <c r="F538" s="7">
        <v>186863789.00056401</v>
      </c>
      <c r="G538" s="7">
        <v>1176731.7774468299</v>
      </c>
      <c r="H538" s="7"/>
      <c r="I538" s="7">
        <v>188040520.77801079</v>
      </c>
      <c r="J538" s="6">
        <v>4.8678499999150517</v>
      </c>
      <c r="K538" s="7">
        <v>2684.411220265747</v>
      </c>
      <c r="L538" s="7">
        <v>20442030</v>
      </c>
      <c r="M538" s="6">
        <v>32.778300999999999</v>
      </c>
      <c r="N538" s="6">
        <v>32.304991000000001</v>
      </c>
      <c r="O538" s="6">
        <v>33.810269300000002</v>
      </c>
      <c r="P538" s="6">
        <v>45.163656799999998</v>
      </c>
      <c r="Q538" s="6">
        <v>44.029952999999999</v>
      </c>
      <c r="R538" s="6">
        <v>48.465240899999998</v>
      </c>
      <c r="S538" s="5">
        <v>1</v>
      </c>
      <c r="T538" s="5">
        <v>1</v>
      </c>
      <c r="U538" s="5">
        <v>0</v>
      </c>
    </row>
    <row r="539" spans="1:21" x14ac:dyDescent="0.3">
      <c r="A539" s="2" t="s">
        <v>58</v>
      </c>
      <c r="B539" s="2">
        <v>2019</v>
      </c>
      <c r="C539" s="2" t="s">
        <v>59</v>
      </c>
      <c r="D539" s="8">
        <v>2183.4009860000001</v>
      </c>
      <c r="E539" s="4">
        <f t="shared" si="8"/>
        <v>1919644570.0434926</v>
      </c>
      <c r="F539" s="4">
        <v>0</v>
      </c>
      <c r="G539" s="4">
        <v>0</v>
      </c>
      <c r="H539" s="4"/>
      <c r="I539" s="4">
        <v>0</v>
      </c>
      <c r="J539" s="3">
        <v>4.9999991160881763</v>
      </c>
      <c r="K539" s="4">
        <v>2819.8658229725852</v>
      </c>
      <c r="L539" s="4">
        <v>21068405</v>
      </c>
      <c r="M539" s="3">
        <v>32.229095600000001</v>
      </c>
      <c r="N539" s="3">
        <v>30.0408787</v>
      </c>
      <c r="O539" s="3">
        <v>30.791579800000001</v>
      </c>
      <c r="P539" s="3">
        <v>44.5173834</v>
      </c>
      <c r="Q539" s="3">
        <v>43.046643499999988</v>
      </c>
      <c r="R539" s="3">
        <v>47.981246300000002</v>
      </c>
      <c r="S539" s="2">
        <v>1</v>
      </c>
      <c r="T539" s="2">
        <v>1</v>
      </c>
      <c r="U539" s="2">
        <v>0</v>
      </c>
    </row>
    <row r="540" spans="1:21" x14ac:dyDescent="0.3">
      <c r="A540" s="5" t="s">
        <v>58</v>
      </c>
      <c r="B540" s="5">
        <v>2020</v>
      </c>
      <c r="C540" s="5" t="s">
        <v>59</v>
      </c>
      <c r="D540" s="9">
        <v>1870.5033739999999</v>
      </c>
      <c r="E540" s="7">
        <f t="shared" si="8"/>
        <v>1644545215.5471053</v>
      </c>
      <c r="F540" s="7">
        <v>58633.942625338401</v>
      </c>
      <c r="G540" s="7"/>
      <c r="H540" s="7"/>
      <c r="I540" s="7">
        <v>58633.942625338401</v>
      </c>
      <c r="J540" s="6">
        <v>-1.1691083482860309</v>
      </c>
      <c r="K540" s="7">
        <v>2723.7009478444152</v>
      </c>
      <c r="L540" s="7">
        <v>21713836</v>
      </c>
      <c r="M540" s="6">
        <v>32.159644800000002</v>
      </c>
      <c r="N540" s="6">
        <v>29.5164054</v>
      </c>
      <c r="O540" s="6">
        <v>30.714891999999999</v>
      </c>
      <c r="P540" s="6">
        <v>43.358930000000001</v>
      </c>
      <c r="Q540" s="6">
        <v>42.617895599999997</v>
      </c>
      <c r="R540" s="6">
        <v>45.366531999999999</v>
      </c>
      <c r="S540" s="5">
        <v>1</v>
      </c>
      <c r="T540" s="5">
        <v>1</v>
      </c>
      <c r="U540" s="5">
        <v>0</v>
      </c>
    </row>
    <row r="541" spans="1:21" x14ac:dyDescent="0.3">
      <c r="A541" s="2" t="s">
        <v>58</v>
      </c>
      <c r="B541" s="2">
        <v>2021</v>
      </c>
      <c r="C541" s="2" t="s">
        <v>59</v>
      </c>
      <c r="D541" s="8">
        <v>1589.4999869999999</v>
      </c>
      <c r="E541" s="4">
        <f t="shared" si="8"/>
        <v>1397487240.6367743</v>
      </c>
      <c r="F541" s="4">
        <v>15434419.447099339</v>
      </c>
      <c r="G541" s="4"/>
      <c r="H541" s="4">
        <v>0</v>
      </c>
      <c r="I541" s="4">
        <v>15434419.447099339</v>
      </c>
      <c r="J541" s="3">
        <v>3.100941244448336</v>
      </c>
      <c r="K541" s="4">
        <v>2796.2279379543279</v>
      </c>
      <c r="L541" s="4">
        <v>22388630</v>
      </c>
      <c r="M541" s="3">
        <v>29.710309800000001</v>
      </c>
      <c r="N541" s="3">
        <v>28.375607299999999</v>
      </c>
      <c r="O541" s="3">
        <v>26.060987699999998</v>
      </c>
      <c r="P541" s="3">
        <v>44.300426999999999</v>
      </c>
      <c r="Q541" s="3">
        <v>41.773025699999998</v>
      </c>
      <c r="R541" s="3">
        <v>42.645276500000001</v>
      </c>
      <c r="S541" s="2">
        <v>1</v>
      </c>
      <c r="T541" s="2">
        <v>1</v>
      </c>
      <c r="U541" s="2">
        <v>0</v>
      </c>
    </row>
    <row r="542" spans="1:21" x14ac:dyDescent="0.3">
      <c r="A542" s="2" t="s">
        <v>60</v>
      </c>
      <c r="B542" s="2">
        <v>2002</v>
      </c>
      <c r="C542" s="2" t="s">
        <v>61</v>
      </c>
      <c r="D542" s="8">
        <v>434.34338000000002</v>
      </c>
      <c r="E542" s="4">
        <f t="shared" si="8"/>
        <v>381874386.01410311</v>
      </c>
      <c r="F542" s="4">
        <v>1509876.2642234899</v>
      </c>
      <c r="G542" s="4"/>
      <c r="H542" s="4"/>
      <c r="I542" s="4">
        <v>1509876.2642234899</v>
      </c>
      <c r="J542" s="3">
        <v>1.381483960452655</v>
      </c>
      <c r="K542" s="4">
        <v>2295.805009953307</v>
      </c>
      <c r="L542" s="4">
        <v>2738655</v>
      </c>
      <c r="M542" s="3">
        <v>42.116605399999997</v>
      </c>
      <c r="N542" s="3">
        <v>45.913252</v>
      </c>
      <c r="O542" s="3">
        <v>67.375096400000004</v>
      </c>
      <c r="P542" s="3">
        <v>58.9629938</v>
      </c>
      <c r="Q542" s="3">
        <v>47.376226600000003</v>
      </c>
      <c r="R542" s="3">
        <v>42.213271300000002</v>
      </c>
      <c r="S542" s="2">
        <v>0</v>
      </c>
      <c r="T542" s="2">
        <v>0</v>
      </c>
      <c r="U542" s="2">
        <v>0</v>
      </c>
    </row>
    <row r="543" spans="1:21" x14ac:dyDescent="0.3">
      <c r="A543" s="5" t="s">
        <v>60</v>
      </c>
      <c r="B543" s="5">
        <v>2003</v>
      </c>
      <c r="C543" s="5" t="s">
        <v>61</v>
      </c>
      <c r="D543" s="9">
        <v>353.955917</v>
      </c>
      <c r="E543" s="7">
        <f t="shared" si="8"/>
        <v>311197786.60016376</v>
      </c>
      <c r="F543" s="7">
        <v>0</v>
      </c>
      <c r="G543" s="7"/>
      <c r="H543" s="7"/>
      <c r="I543" s="7">
        <v>0</v>
      </c>
      <c r="J543" s="6">
        <v>6.9282695756847366</v>
      </c>
      <c r="K543" s="7">
        <v>2446.69817773871</v>
      </c>
      <c r="L543" s="7">
        <v>2802046</v>
      </c>
      <c r="M543" s="6">
        <v>42.0769381</v>
      </c>
      <c r="N543" s="6">
        <v>45.663353499999999</v>
      </c>
      <c r="O543" s="6">
        <v>60.958034499999997</v>
      </c>
      <c r="P543" s="6">
        <v>56.938356599999999</v>
      </c>
      <c r="Q543" s="6">
        <v>45.707404500000003</v>
      </c>
      <c r="R543" s="6">
        <v>42.270926199999998</v>
      </c>
      <c r="S543" s="5">
        <v>0</v>
      </c>
      <c r="T543" s="5">
        <v>0</v>
      </c>
      <c r="U543" s="5">
        <v>0</v>
      </c>
    </row>
    <row r="544" spans="1:21" x14ac:dyDescent="0.3">
      <c r="A544" s="2" t="s">
        <v>60</v>
      </c>
      <c r="B544" s="2">
        <v>2004</v>
      </c>
      <c r="C544" s="2" t="s">
        <v>61</v>
      </c>
      <c r="D544" s="8">
        <v>314.476336</v>
      </c>
      <c r="E544" s="4">
        <f t="shared" si="8"/>
        <v>276487367.4970361</v>
      </c>
      <c r="F544" s="4">
        <v>1138826.0609433099</v>
      </c>
      <c r="G544" s="4"/>
      <c r="H544" s="4"/>
      <c r="I544" s="4">
        <v>1138826.0609433099</v>
      </c>
      <c r="J544" s="3">
        <v>4.7327578751094563</v>
      </c>
      <c r="K544" s="4">
        <v>2570.294049119967</v>
      </c>
      <c r="L544" s="4">
        <v>2868664</v>
      </c>
      <c r="M544" s="3">
        <v>36.297556999999998</v>
      </c>
      <c r="N544" s="3">
        <v>40.078649899999988</v>
      </c>
      <c r="O544" s="3">
        <v>60.545718899999997</v>
      </c>
      <c r="P544" s="3">
        <v>48.574989799999997</v>
      </c>
      <c r="Q544" s="3">
        <v>41.644292999999998</v>
      </c>
      <c r="R544" s="3">
        <v>36.767382300000001</v>
      </c>
      <c r="S544" s="2">
        <v>0</v>
      </c>
      <c r="T544" s="2">
        <v>0</v>
      </c>
      <c r="U544" s="2">
        <v>0</v>
      </c>
    </row>
    <row r="545" spans="1:21" x14ac:dyDescent="0.3">
      <c r="A545" s="5" t="s">
        <v>60</v>
      </c>
      <c r="B545" s="5">
        <v>2005</v>
      </c>
      <c r="C545" s="5" t="s">
        <v>61</v>
      </c>
      <c r="D545" s="9">
        <v>295.38883600000003</v>
      </c>
      <c r="E545" s="7">
        <f t="shared" si="8"/>
        <v>259705651.2819894</v>
      </c>
      <c r="F545" s="7">
        <v>0</v>
      </c>
      <c r="G545" s="7"/>
      <c r="H545" s="7"/>
      <c r="I545" s="7">
        <v>0</v>
      </c>
      <c r="J545" s="6">
        <v>8.5662873200941902</v>
      </c>
      <c r="K545" s="7">
        <v>2809.0350814569078</v>
      </c>
      <c r="L545" s="7">
        <v>2939059</v>
      </c>
      <c r="M545" s="6">
        <v>34.211025200000002</v>
      </c>
      <c r="N545" s="6">
        <v>38.168076599999999</v>
      </c>
      <c r="O545" s="6">
        <v>58.545699199999987</v>
      </c>
      <c r="P545" s="6">
        <v>49.607577900000003</v>
      </c>
      <c r="Q545" s="6">
        <v>43.334179300000002</v>
      </c>
      <c r="R545" s="6">
        <v>40.544184899999998</v>
      </c>
      <c r="S545" s="5">
        <v>0</v>
      </c>
      <c r="T545" s="5">
        <v>0</v>
      </c>
      <c r="U545" s="5">
        <v>0</v>
      </c>
    </row>
    <row r="546" spans="1:21" x14ac:dyDescent="0.3">
      <c r="A546" s="2" t="s">
        <v>60</v>
      </c>
      <c r="B546" s="2">
        <v>2006</v>
      </c>
      <c r="C546" s="2" t="s">
        <v>61</v>
      </c>
      <c r="D546" s="8">
        <v>1446.4365290000001</v>
      </c>
      <c r="E546" s="4">
        <f t="shared" si="8"/>
        <v>1271705951.6833098</v>
      </c>
      <c r="F546" s="4">
        <v>764621.19384514401</v>
      </c>
      <c r="G546" s="4"/>
      <c r="H546" s="4"/>
      <c r="I546" s="4">
        <v>764621.19384514401</v>
      </c>
      <c r="J546" s="3">
        <v>18.333198693234511</v>
      </c>
      <c r="K546" s="4">
        <v>3341.7071835500092</v>
      </c>
      <c r="L546" s="4">
        <v>3013660</v>
      </c>
      <c r="M546" s="3">
        <v>35.2263345</v>
      </c>
      <c r="N546" s="3">
        <v>34.781638000000001</v>
      </c>
      <c r="O546" s="3">
        <v>68.130936800000001</v>
      </c>
      <c r="P546" s="3">
        <v>45.841234900000003</v>
      </c>
      <c r="Q546" s="3">
        <v>44.168540399999998</v>
      </c>
      <c r="R546" s="3">
        <v>44.382944599999988</v>
      </c>
      <c r="S546" s="2">
        <v>0</v>
      </c>
      <c r="T546" s="2">
        <v>0</v>
      </c>
      <c r="U546" s="2">
        <v>0</v>
      </c>
    </row>
    <row r="547" spans="1:21" x14ac:dyDescent="0.3">
      <c r="A547" s="5" t="s">
        <v>60</v>
      </c>
      <c r="B547" s="5">
        <v>2007</v>
      </c>
      <c r="C547" s="5" t="s">
        <v>61</v>
      </c>
      <c r="D547" s="9">
        <v>360.18075700000003</v>
      </c>
      <c r="E547" s="7">
        <f t="shared" si="8"/>
        <v>316670661.4325971</v>
      </c>
      <c r="F547" s="7">
        <v>102558069.824393</v>
      </c>
      <c r="G547" s="7">
        <v>0</v>
      </c>
      <c r="H547" s="7"/>
      <c r="I547" s="7">
        <v>102558069.824393</v>
      </c>
      <c r="J547" s="6">
        <v>-1.9694227498840891</v>
      </c>
      <c r="K547" s="7">
        <v>3278.2766139400178</v>
      </c>
      <c r="L547" s="7">
        <v>3093059</v>
      </c>
      <c r="M547" s="6">
        <v>36.922014399999988</v>
      </c>
      <c r="N547" s="6">
        <v>36.420029999999997</v>
      </c>
      <c r="O547" s="6">
        <v>63.1820077</v>
      </c>
      <c r="P547" s="6">
        <v>47.359880699999998</v>
      </c>
      <c r="Q547" s="6">
        <v>46.639806399999998</v>
      </c>
      <c r="R547" s="6">
        <v>48.484098099999997</v>
      </c>
      <c r="S547" s="5">
        <v>0</v>
      </c>
      <c r="T547" s="5">
        <v>0</v>
      </c>
      <c r="U547" s="5">
        <v>0</v>
      </c>
    </row>
    <row r="548" spans="1:21" x14ac:dyDescent="0.3">
      <c r="A548" s="2" t="s">
        <v>60</v>
      </c>
      <c r="B548" s="2">
        <v>2008</v>
      </c>
      <c r="C548" s="2" t="s">
        <v>61</v>
      </c>
      <c r="D548" s="8">
        <v>476.08213000000001</v>
      </c>
      <c r="E548" s="4">
        <f t="shared" si="8"/>
        <v>418571064.87046361</v>
      </c>
      <c r="F548" s="4">
        <v>0</v>
      </c>
      <c r="G548" s="4"/>
      <c r="H548" s="4"/>
      <c r="I548" s="4">
        <v>0</v>
      </c>
      <c r="J548" s="3">
        <v>-0.33107922343080531</v>
      </c>
      <c r="K548" s="4">
        <v>3235.9978216103641</v>
      </c>
      <c r="L548" s="4">
        <v>3183269</v>
      </c>
      <c r="M548" s="3">
        <v>31.6853452</v>
      </c>
      <c r="N548" s="3">
        <v>33.166277399999998</v>
      </c>
      <c r="O548" s="3">
        <v>54.212975200000002</v>
      </c>
      <c r="P548" s="3">
        <v>44.155306299999999</v>
      </c>
      <c r="Q548" s="3">
        <v>38.410293500000002</v>
      </c>
      <c r="R548" s="3">
        <v>42.408621799999999</v>
      </c>
      <c r="S548" s="2">
        <v>0</v>
      </c>
      <c r="T548" s="2">
        <v>0</v>
      </c>
      <c r="U548" s="2">
        <v>0</v>
      </c>
    </row>
    <row r="549" spans="1:21" x14ac:dyDescent="0.3">
      <c r="A549" s="5" t="s">
        <v>60</v>
      </c>
      <c r="B549" s="5">
        <v>2009</v>
      </c>
      <c r="C549" s="5" t="s">
        <v>61</v>
      </c>
      <c r="D549" s="9">
        <v>367.38583899999998</v>
      </c>
      <c r="E549" s="7">
        <f t="shared" si="8"/>
        <v>323005364.32350171</v>
      </c>
      <c r="F549" s="7">
        <v>462147140.84861922</v>
      </c>
      <c r="G549" s="7">
        <v>25534.170820671399</v>
      </c>
      <c r="H549" s="7"/>
      <c r="I549" s="7">
        <v>462172675.01943982</v>
      </c>
      <c r="J549" s="6">
        <v>9.7875914332007596E-2</v>
      </c>
      <c r="K549" s="7">
        <v>3158.7441428670818</v>
      </c>
      <c r="L549" s="7">
        <v>3284448</v>
      </c>
      <c r="M549" s="6">
        <v>33.502960100000003</v>
      </c>
      <c r="N549" s="6">
        <v>36.498883300000003</v>
      </c>
      <c r="O549" s="6">
        <v>56.2856156</v>
      </c>
      <c r="P549" s="6">
        <v>44.639230300000001</v>
      </c>
      <c r="Q549" s="6">
        <v>40.841906000000002</v>
      </c>
      <c r="R549" s="6">
        <v>40.872172800000001</v>
      </c>
      <c r="S549" s="5">
        <v>0</v>
      </c>
      <c r="T549" s="5">
        <v>0</v>
      </c>
      <c r="U549" s="5">
        <v>0</v>
      </c>
    </row>
    <row r="550" spans="1:21" x14ac:dyDescent="0.3">
      <c r="A550" s="2" t="s">
        <v>60</v>
      </c>
      <c r="B550" s="2">
        <v>2010</v>
      </c>
      <c r="C550" s="2" t="s">
        <v>61</v>
      </c>
      <c r="D550" s="8">
        <v>412.62546200000003</v>
      </c>
      <c r="E550" s="4">
        <f t="shared" si="8"/>
        <v>362780008.1931389</v>
      </c>
      <c r="F550" s="4">
        <v>152870776.5912756</v>
      </c>
      <c r="G550" s="4"/>
      <c r="H550" s="4"/>
      <c r="I550" s="4">
        <v>152870776.5912756</v>
      </c>
      <c r="J550" s="3">
        <v>2.6202294810454281</v>
      </c>
      <c r="K550" s="4">
        <v>3177.844365611651</v>
      </c>
      <c r="L550" s="4">
        <v>3390965</v>
      </c>
      <c r="M550" s="3">
        <v>35.372879099999999</v>
      </c>
      <c r="N550" s="3">
        <v>41.319520599999997</v>
      </c>
      <c r="O550" s="3">
        <v>51.966295500000001</v>
      </c>
      <c r="P550" s="3">
        <v>46.8567204</v>
      </c>
      <c r="Q550" s="3">
        <v>41.483877199999988</v>
      </c>
      <c r="R550" s="3">
        <v>44.624930499999998</v>
      </c>
      <c r="S550" s="2">
        <v>1</v>
      </c>
      <c r="T550" s="2">
        <v>1</v>
      </c>
      <c r="U550" s="2">
        <v>0</v>
      </c>
    </row>
    <row r="551" spans="1:21" x14ac:dyDescent="0.3">
      <c r="A551" s="5" t="s">
        <v>60</v>
      </c>
      <c r="B551" s="5">
        <v>2011</v>
      </c>
      <c r="C551" s="5" t="s">
        <v>61</v>
      </c>
      <c r="D551" s="9">
        <v>409.08669400000002</v>
      </c>
      <c r="E551" s="7">
        <f t="shared" si="8"/>
        <v>359668725.92322987</v>
      </c>
      <c r="F551" s="7">
        <v>85612354.194797575</v>
      </c>
      <c r="G551" s="7"/>
      <c r="H551" s="7"/>
      <c r="I551" s="7">
        <v>85612354.194797575</v>
      </c>
      <c r="J551" s="6">
        <v>4.172783278153986</v>
      </c>
      <c r="K551" s="7">
        <v>3270.862513418881</v>
      </c>
      <c r="L551" s="7">
        <v>3502811</v>
      </c>
      <c r="M551" s="6">
        <v>36.881782299999998</v>
      </c>
      <c r="N551" s="6">
        <v>41.515920700000002</v>
      </c>
      <c r="O551" s="6">
        <v>48.754291799999997</v>
      </c>
      <c r="P551" s="6">
        <v>47.259055600000003</v>
      </c>
      <c r="Q551" s="6">
        <v>40.547284500000004</v>
      </c>
      <c r="R551" s="6">
        <v>45.227628699999997</v>
      </c>
      <c r="S551" s="5">
        <v>0</v>
      </c>
      <c r="T551" s="5">
        <v>0</v>
      </c>
      <c r="U551" s="5">
        <v>0</v>
      </c>
    </row>
    <row r="552" spans="1:21" x14ac:dyDescent="0.3">
      <c r="A552" s="2" t="s">
        <v>60</v>
      </c>
      <c r="B552" s="2">
        <v>2012</v>
      </c>
      <c r="C552" s="2" t="s">
        <v>61</v>
      </c>
      <c r="D552" s="8">
        <v>494.52552200000002</v>
      </c>
      <c r="E552" s="4">
        <f t="shared" si="8"/>
        <v>434786481.79708374</v>
      </c>
      <c r="F552" s="4">
        <v>1822341.9522454599</v>
      </c>
      <c r="G552" s="4">
        <v>0</v>
      </c>
      <c r="H552" s="4"/>
      <c r="I552" s="4">
        <v>1822341.9522454599</v>
      </c>
      <c r="J552" s="3">
        <v>4.4700131917047941</v>
      </c>
      <c r="K552" s="4">
        <v>3464.976610992695</v>
      </c>
      <c r="L552" s="4">
        <v>3619034</v>
      </c>
      <c r="M552" s="3">
        <v>32.985068300000002</v>
      </c>
      <c r="N552" s="3">
        <v>38.693652299999997</v>
      </c>
      <c r="O552" s="3">
        <v>47.120571699999999</v>
      </c>
      <c r="P552" s="3">
        <v>44.1563157</v>
      </c>
      <c r="Q552" s="3">
        <v>39.938640100000001</v>
      </c>
      <c r="R552" s="3">
        <v>41.514452899999988</v>
      </c>
      <c r="S552" s="2">
        <v>0</v>
      </c>
      <c r="T552" s="2">
        <v>0</v>
      </c>
      <c r="U552" s="2">
        <v>0</v>
      </c>
    </row>
    <row r="553" spans="1:21" x14ac:dyDescent="0.3">
      <c r="A553" s="5" t="s">
        <v>60</v>
      </c>
      <c r="B553" s="5">
        <v>2013</v>
      </c>
      <c r="C553" s="5" t="s">
        <v>61</v>
      </c>
      <c r="D553" s="9">
        <v>353.90827400000001</v>
      </c>
      <c r="E553" s="7">
        <f t="shared" si="8"/>
        <v>311155898.90897143</v>
      </c>
      <c r="F553" s="7">
        <v>71549305.004642606</v>
      </c>
      <c r="G553" s="7">
        <v>184433976.28303781</v>
      </c>
      <c r="H553" s="7"/>
      <c r="I553" s="7">
        <v>255983281.28768039</v>
      </c>
      <c r="J553" s="6">
        <v>4.1508131898954019</v>
      </c>
      <c r="K553" s="7">
        <v>3831.0471101234771</v>
      </c>
      <c r="L553" s="7">
        <v>3734318</v>
      </c>
      <c r="M553" s="6">
        <v>31.683422199999999</v>
      </c>
      <c r="N553" s="6">
        <v>35.186725000000003</v>
      </c>
      <c r="O553" s="6">
        <v>46.430683399999999</v>
      </c>
      <c r="P553" s="6">
        <v>41.632642300000001</v>
      </c>
      <c r="Q553" s="6">
        <v>38.551082200000003</v>
      </c>
      <c r="R553" s="6">
        <v>40.3297077</v>
      </c>
      <c r="S553" s="5">
        <v>0</v>
      </c>
      <c r="T553" s="5">
        <v>0</v>
      </c>
      <c r="U553" s="5">
        <v>0</v>
      </c>
    </row>
    <row r="554" spans="1:21" x14ac:dyDescent="0.3">
      <c r="A554" s="2" t="s">
        <v>60</v>
      </c>
      <c r="B554" s="2">
        <v>2014</v>
      </c>
      <c r="C554" s="2" t="s">
        <v>61</v>
      </c>
      <c r="D554" s="8">
        <v>328.44806899999998</v>
      </c>
      <c r="E554" s="4">
        <f t="shared" si="8"/>
        <v>288771305.06027919</v>
      </c>
      <c r="F554" s="4">
        <v>49977983.165169887</v>
      </c>
      <c r="G554" s="4"/>
      <c r="H554" s="4"/>
      <c r="I554" s="4">
        <v>49977983.165169887</v>
      </c>
      <c r="J554" s="3">
        <v>4.2748232881445736</v>
      </c>
      <c r="K554" s="4">
        <v>3865.1425867687049</v>
      </c>
      <c r="L554" s="4">
        <v>3848514</v>
      </c>
      <c r="M554" s="3">
        <v>29.2039577</v>
      </c>
      <c r="N554" s="3">
        <v>34.897897700000001</v>
      </c>
      <c r="O554" s="3">
        <v>52.891638200000003</v>
      </c>
      <c r="P554" s="3">
        <v>41.728843300000001</v>
      </c>
      <c r="Q554" s="3">
        <v>39.931733399999999</v>
      </c>
      <c r="R554" s="3">
        <v>40.7916229</v>
      </c>
      <c r="S554" s="2">
        <v>0</v>
      </c>
      <c r="T554" s="2">
        <v>0</v>
      </c>
      <c r="U554" s="2">
        <v>0</v>
      </c>
    </row>
    <row r="555" spans="1:21" x14ac:dyDescent="0.3">
      <c r="A555" s="5" t="s">
        <v>60</v>
      </c>
      <c r="B555" s="5">
        <v>2015</v>
      </c>
      <c r="C555" s="5" t="s">
        <v>61</v>
      </c>
      <c r="D555" s="9">
        <v>472.37784299999998</v>
      </c>
      <c r="E555" s="7">
        <f t="shared" si="8"/>
        <v>415314258.41529202</v>
      </c>
      <c r="F555" s="7">
        <v>54058991.300456077</v>
      </c>
      <c r="G555" s="7"/>
      <c r="H555" s="7"/>
      <c r="I555" s="7">
        <v>54058991.300456077</v>
      </c>
      <c r="J555" s="6">
        <v>5.3763392409925066</v>
      </c>
      <c r="K555" s="7">
        <v>3977.6117127586322</v>
      </c>
      <c r="L555" s="7">
        <v>3965959</v>
      </c>
      <c r="M555" s="6">
        <v>28.5679768</v>
      </c>
      <c r="N555" s="6">
        <v>33.230878300000001</v>
      </c>
      <c r="O555" s="6">
        <v>52.630356399999997</v>
      </c>
      <c r="P555" s="6">
        <v>41.901185499999997</v>
      </c>
      <c r="Q555" s="6">
        <v>40.197781599999999</v>
      </c>
      <c r="R555" s="6">
        <v>40.702489700000001</v>
      </c>
      <c r="S555" s="5">
        <v>0</v>
      </c>
      <c r="T555" s="5">
        <v>0</v>
      </c>
      <c r="U555" s="5">
        <v>0</v>
      </c>
    </row>
    <row r="556" spans="1:21" x14ac:dyDescent="0.3">
      <c r="A556" s="2" t="s">
        <v>60</v>
      </c>
      <c r="B556" s="2">
        <v>2016</v>
      </c>
      <c r="C556" s="2" t="s">
        <v>61</v>
      </c>
      <c r="D556" s="8">
        <v>458.32809900000001</v>
      </c>
      <c r="E556" s="4">
        <f t="shared" si="8"/>
        <v>402961733.63718832</v>
      </c>
      <c r="F556" s="4">
        <v>3599184.3705524788</v>
      </c>
      <c r="G556" s="4">
        <v>71078560.684564099</v>
      </c>
      <c r="H556" s="4"/>
      <c r="I556" s="4">
        <v>74677745.055116579</v>
      </c>
      <c r="J556" s="3">
        <v>1.260909230672254</v>
      </c>
      <c r="K556" s="4">
        <v>4682.7025969003298</v>
      </c>
      <c r="L556" s="4">
        <v>4086657</v>
      </c>
      <c r="M556" s="3">
        <v>31.0370797</v>
      </c>
      <c r="N556" s="3">
        <v>33.929554400000001</v>
      </c>
      <c r="O556" s="3">
        <v>50.409003499999997</v>
      </c>
      <c r="P556" s="3">
        <v>44.063841500000002</v>
      </c>
      <c r="Q556" s="3">
        <v>41.207717700000003</v>
      </c>
      <c r="R556" s="3">
        <v>40.695768700000002</v>
      </c>
      <c r="S556" s="2">
        <v>0</v>
      </c>
      <c r="T556" s="2">
        <v>0</v>
      </c>
      <c r="U556" s="2">
        <v>0</v>
      </c>
    </row>
    <row r="557" spans="1:21" x14ac:dyDescent="0.3">
      <c r="A557" s="5" t="s">
        <v>60</v>
      </c>
      <c r="B557" s="5">
        <v>2017</v>
      </c>
      <c r="C557" s="5" t="s">
        <v>61</v>
      </c>
      <c r="D557" s="9">
        <v>462.30260299999998</v>
      </c>
      <c r="E557" s="7">
        <f t="shared" si="8"/>
        <v>406456114.68360966</v>
      </c>
      <c r="F557" s="7">
        <v>55363501.778743356</v>
      </c>
      <c r="G557" s="7"/>
      <c r="H557" s="7"/>
      <c r="I557" s="7">
        <v>55363501.778743356</v>
      </c>
      <c r="J557" s="6">
        <v>6.2705456693767729</v>
      </c>
      <c r="K557" s="7">
        <v>5353.0660881040694</v>
      </c>
      <c r="L557" s="7">
        <v>4210600</v>
      </c>
      <c r="M557" s="6">
        <v>30.2432877</v>
      </c>
      <c r="N557" s="6">
        <v>35.383426499999999</v>
      </c>
      <c r="O557" s="6">
        <v>52.847683799999999</v>
      </c>
      <c r="P557" s="6">
        <v>43.703297399999997</v>
      </c>
      <c r="Q557" s="6">
        <v>43.0773595</v>
      </c>
      <c r="R557" s="6">
        <v>39.846679199999997</v>
      </c>
      <c r="S557" s="5">
        <v>0</v>
      </c>
      <c r="T557" s="5">
        <v>0</v>
      </c>
      <c r="U557" s="5">
        <v>0</v>
      </c>
    </row>
    <row r="558" spans="1:21" x14ac:dyDescent="0.3">
      <c r="A558" s="2" t="s">
        <v>60</v>
      </c>
      <c r="B558" s="2">
        <v>2018</v>
      </c>
      <c r="C558" s="2" t="s">
        <v>61</v>
      </c>
      <c r="D558" s="8">
        <v>619.68163500000003</v>
      </c>
      <c r="E558" s="4">
        <f t="shared" si="8"/>
        <v>544823645.95919597</v>
      </c>
      <c r="F558" s="4">
        <v>49757839.265088633</v>
      </c>
      <c r="G558" s="4">
        <v>65913153.0866189</v>
      </c>
      <c r="H558" s="4"/>
      <c r="I558" s="4">
        <v>115670992.3517075</v>
      </c>
      <c r="J558" s="3">
        <v>4.7721736569262134</v>
      </c>
      <c r="K558" s="4">
        <v>5429.2322305978414</v>
      </c>
      <c r="L558" s="4">
        <v>4337685</v>
      </c>
      <c r="M558" s="3">
        <v>29.7489712</v>
      </c>
      <c r="N558" s="3">
        <v>35.117094000000002</v>
      </c>
      <c r="O558" s="3">
        <v>53.108390099999987</v>
      </c>
      <c r="P558" s="3">
        <v>42.848241899999998</v>
      </c>
      <c r="Q558" s="3">
        <v>42.7837982</v>
      </c>
      <c r="R558" s="3">
        <v>40.419292400000003</v>
      </c>
      <c r="S558" s="2">
        <v>0</v>
      </c>
      <c r="T558" s="2">
        <v>0</v>
      </c>
      <c r="U558" s="2">
        <v>0</v>
      </c>
    </row>
    <row r="559" spans="1:21" x14ac:dyDescent="0.3">
      <c r="A559" s="5" t="s">
        <v>60</v>
      </c>
      <c r="B559" s="5">
        <v>2019</v>
      </c>
      <c r="C559" s="5" t="s">
        <v>61</v>
      </c>
      <c r="D559" s="9">
        <v>590.80616299999997</v>
      </c>
      <c r="E559" s="7">
        <f t="shared" ref="E559:E622" si="9">(D559*0.879199277802054)*1000000</f>
        <v>519436351.83060259</v>
      </c>
      <c r="F559" s="7">
        <v>134231726.38840851</v>
      </c>
      <c r="G559" s="7">
        <v>0</v>
      </c>
      <c r="H559" s="7"/>
      <c r="I559" s="7">
        <v>134231726.38840851</v>
      </c>
      <c r="J559" s="6">
        <v>3.1410048930696921</v>
      </c>
      <c r="K559" s="7">
        <v>5610.1323671389173</v>
      </c>
      <c r="L559" s="7">
        <v>4467708</v>
      </c>
      <c r="M559" s="6">
        <v>27.997730300000001</v>
      </c>
      <c r="N559" s="6">
        <v>35.317165199999998</v>
      </c>
      <c r="O559" s="6">
        <v>54.869279300000002</v>
      </c>
      <c r="P559" s="6">
        <v>42.853977999999998</v>
      </c>
      <c r="Q559" s="6">
        <v>43.503510200000001</v>
      </c>
      <c r="R559" s="6">
        <v>41.574213399999998</v>
      </c>
      <c r="S559" s="5">
        <v>0</v>
      </c>
      <c r="T559" s="5">
        <v>0</v>
      </c>
      <c r="U559" s="5">
        <v>0</v>
      </c>
    </row>
    <row r="560" spans="1:21" x14ac:dyDescent="0.3">
      <c r="A560" s="2" t="s">
        <v>60</v>
      </c>
      <c r="B560" s="2">
        <v>2020</v>
      </c>
      <c r="C560" s="2" t="s">
        <v>61</v>
      </c>
      <c r="D560" s="8">
        <v>814.57140200000003</v>
      </c>
      <c r="E560" s="4">
        <f t="shared" si="9"/>
        <v>716170588.3566066</v>
      </c>
      <c r="F560" s="4">
        <v>298660.53056522942</v>
      </c>
      <c r="G560" s="4"/>
      <c r="H560" s="4">
        <v>0</v>
      </c>
      <c r="I560" s="4">
        <v>298660.53056522942</v>
      </c>
      <c r="J560" s="3">
        <v>-0.36065738415106813</v>
      </c>
      <c r="K560" s="4">
        <v>5740.7395969012896</v>
      </c>
      <c r="L560" s="4">
        <v>4600131</v>
      </c>
      <c r="M560" s="3">
        <v>31.8331205</v>
      </c>
      <c r="N560" s="3">
        <v>33.825295599999997</v>
      </c>
      <c r="O560" s="3">
        <v>55.1954098</v>
      </c>
      <c r="P560" s="3">
        <v>41.089777400000003</v>
      </c>
      <c r="Q560" s="3">
        <v>44.810904099999988</v>
      </c>
      <c r="R560" s="3">
        <v>42.867143300000002</v>
      </c>
      <c r="S560" s="2">
        <v>0</v>
      </c>
      <c r="T560" s="2">
        <v>0</v>
      </c>
      <c r="U560" s="2">
        <v>0</v>
      </c>
    </row>
    <row r="561" spans="1:21" x14ac:dyDescent="0.3">
      <c r="A561" s="5" t="s">
        <v>60</v>
      </c>
      <c r="B561" s="5">
        <v>2021</v>
      </c>
      <c r="C561" s="5" t="s">
        <v>61</v>
      </c>
      <c r="D561" s="9">
        <v>592.62431300000003</v>
      </c>
      <c r="E561" s="7">
        <f t="shared" si="9"/>
        <v>521034867.99753839</v>
      </c>
      <c r="F561" s="7">
        <v>27540000</v>
      </c>
      <c r="G561" s="7">
        <v>15137085.137085101</v>
      </c>
      <c r="H561" s="7">
        <v>0</v>
      </c>
      <c r="I561" s="7">
        <v>42677085.137085102</v>
      </c>
      <c r="J561" s="6">
        <v>0.74271548656774655</v>
      </c>
      <c r="K561" s="7">
        <v>5836.5658082189693</v>
      </c>
      <c r="L561" s="7">
        <v>4734874</v>
      </c>
      <c r="M561" s="6">
        <v>30.059421700000001</v>
      </c>
      <c r="N561" s="6">
        <v>34.8463049</v>
      </c>
      <c r="O561" s="6">
        <v>56.973992099999997</v>
      </c>
      <c r="P561" s="6">
        <v>39.566086299999988</v>
      </c>
      <c r="Q561" s="6">
        <v>41.921120299999998</v>
      </c>
      <c r="R561" s="6">
        <v>41.1961929</v>
      </c>
      <c r="S561" s="5">
        <v>0</v>
      </c>
      <c r="T561" s="5">
        <v>0</v>
      </c>
      <c r="U561" s="5">
        <v>0</v>
      </c>
    </row>
    <row r="562" spans="1:21" x14ac:dyDescent="0.3">
      <c r="A562" s="5" t="s">
        <v>62</v>
      </c>
      <c r="B562" s="5">
        <v>2002</v>
      </c>
      <c r="C562" s="5" t="s">
        <v>63</v>
      </c>
      <c r="D562" s="9">
        <v>54.697803</v>
      </c>
      <c r="E562" s="7">
        <f t="shared" si="9"/>
        <v>48090268.894959025</v>
      </c>
      <c r="F562" s="7">
        <v>36237030.341363877</v>
      </c>
      <c r="G562" s="7"/>
      <c r="H562" s="7"/>
      <c r="I562" s="7">
        <v>36237030.341363877</v>
      </c>
      <c r="J562" s="6">
        <v>1.6149186586243329</v>
      </c>
      <c r="K562" s="7">
        <v>9823.5399640531541</v>
      </c>
      <c r="L562" s="7">
        <v>1204621</v>
      </c>
      <c r="M562" s="6">
        <v>56.246475799999999</v>
      </c>
      <c r="N562" s="6">
        <v>62.586654699999997</v>
      </c>
      <c r="O562" s="6">
        <v>81.827039099999993</v>
      </c>
      <c r="P562" s="6">
        <v>59.074377800000001</v>
      </c>
      <c r="Q562" s="6">
        <v>73.481562499999995</v>
      </c>
      <c r="R562" s="6">
        <v>69.467111000000003</v>
      </c>
      <c r="S562" s="5">
        <v>0</v>
      </c>
      <c r="T562" s="5">
        <v>0</v>
      </c>
      <c r="U562" s="5">
        <v>0</v>
      </c>
    </row>
    <row r="563" spans="1:21" x14ac:dyDescent="0.3">
      <c r="A563" s="2" t="s">
        <v>62</v>
      </c>
      <c r="B563" s="2">
        <v>2003</v>
      </c>
      <c r="C563" s="2" t="s">
        <v>63</v>
      </c>
      <c r="D563" s="8">
        <v>43.378034</v>
      </c>
      <c r="E563" s="4">
        <f t="shared" si="9"/>
        <v>38137936.165272944</v>
      </c>
      <c r="F563" s="4">
        <v>3044803.0050983899</v>
      </c>
      <c r="G563" s="4"/>
      <c r="H563" s="4"/>
      <c r="I563" s="4">
        <v>3044803.0050983899</v>
      </c>
      <c r="J563" s="3">
        <v>5.9254454894773119</v>
      </c>
      <c r="K563" s="4">
        <v>10534.557253036121</v>
      </c>
      <c r="L563" s="4">
        <v>1213370</v>
      </c>
      <c r="M563" s="3">
        <v>54.924236000000001</v>
      </c>
      <c r="N563" s="3">
        <v>62.7796716</v>
      </c>
      <c r="O563" s="3">
        <v>80.557256099999989</v>
      </c>
      <c r="P563" s="3">
        <v>62.293696999999987</v>
      </c>
      <c r="Q563" s="3">
        <v>72.5051907</v>
      </c>
      <c r="R563" s="3">
        <v>71.8120227</v>
      </c>
      <c r="S563" s="2">
        <v>0</v>
      </c>
      <c r="T563" s="2">
        <v>0</v>
      </c>
      <c r="U563" s="2">
        <v>0</v>
      </c>
    </row>
    <row r="564" spans="1:21" x14ac:dyDescent="0.3">
      <c r="A564" s="5" t="s">
        <v>62</v>
      </c>
      <c r="B564" s="5">
        <v>2004</v>
      </c>
      <c r="C564" s="5" t="s">
        <v>63</v>
      </c>
      <c r="D564" s="9">
        <v>55.915140999999998</v>
      </c>
      <c r="E564" s="7">
        <f t="shared" si="9"/>
        <v>49160551.585400015</v>
      </c>
      <c r="F564" s="7">
        <v>5580894.8848799504</v>
      </c>
      <c r="G564" s="7"/>
      <c r="H564" s="7"/>
      <c r="I564" s="7">
        <v>5580894.8848799504</v>
      </c>
      <c r="J564" s="6">
        <v>4.3300198546435666</v>
      </c>
      <c r="K564" s="7">
        <v>11215.700278435779</v>
      </c>
      <c r="L564" s="7">
        <v>1221003</v>
      </c>
      <c r="M564" s="6">
        <v>52.233032899999998</v>
      </c>
      <c r="N564" s="6">
        <v>62.455302600000003</v>
      </c>
      <c r="O564" s="6">
        <v>79.044395100000003</v>
      </c>
      <c r="P564" s="6">
        <v>62.3680387</v>
      </c>
      <c r="Q564" s="6">
        <v>71.859052699999992</v>
      </c>
      <c r="R564" s="6">
        <v>71.551799199999991</v>
      </c>
      <c r="S564" s="5">
        <v>0</v>
      </c>
      <c r="T564" s="5">
        <v>0</v>
      </c>
      <c r="U564" s="5">
        <v>0</v>
      </c>
    </row>
    <row r="565" spans="1:21" x14ac:dyDescent="0.3">
      <c r="A565" s="2" t="s">
        <v>62</v>
      </c>
      <c r="B565" s="2">
        <v>2005</v>
      </c>
      <c r="C565" s="2" t="s">
        <v>63</v>
      </c>
      <c r="D565" s="8">
        <v>55.039318999999999</v>
      </c>
      <c r="E565" s="4">
        <f t="shared" si="9"/>
        <v>48390529.51551687</v>
      </c>
      <c r="F565" s="4">
        <v>14688555.53172686</v>
      </c>
      <c r="G565" s="4"/>
      <c r="H565" s="4"/>
      <c r="I565" s="4">
        <v>14688555.53172686</v>
      </c>
      <c r="J565" s="3">
        <v>1.7775430203445379</v>
      </c>
      <c r="K565" s="4">
        <v>11703.476524445139</v>
      </c>
      <c r="L565" s="4">
        <v>1228254</v>
      </c>
      <c r="M565" s="3">
        <v>52.8317391</v>
      </c>
      <c r="N565" s="3">
        <v>63.158371099999997</v>
      </c>
      <c r="O565" s="3">
        <v>83.651179799999994</v>
      </c>
      <c r="P565" s="3">
        <v>62.100276299999997</v>
      </c>
      <c r="Q565" s="3">
        <v>73.121010299999995</v>
      </c>
      <c r="R565" s="3">
        <v>72.389016799999993</v>
      </c>
      <c r="S565" s="2">
        <v>0</v>
      </c>
      <c r="T565" s="2">
        <v>0</v>
      </c>
      <c r="U565" s="2">
        <v>0</v>
      </c>
    </row>
    <row r="566" spans="1:21" x14ac:dyDescent="0.3">
      <c r="A566" s="5" t="s">
        <v>62</v>
      </c>
      <c r="B566" s="5">
        <v>2006</v>
      </c>
      <c r="C566" s="5" t="s">
        <v>63</v>
      </c>
      <c r="D566" s="9">
        <v>66.160058000000006</v>
      </c>
      <c r="E566" s="7">
        <f t="shared" si="9"/>
        <v>58167875.212942004</v>
      </c>
      <c r="F566" s="7">
        <v>45723215.754794717</v>
      </c>
      <c r="G566" s="7"/>
      <c r="H566" s="7"/>
      <c r="I566" s="7">
        <v>45723215.754794717</v>
      </c>
      <c r="J566" s="6">
        <v>4.8655446077552966</v>
      </c>
      <c r="K566" s="7">
        <v>12592.521894660829</v>
      </c>
      <c r="L566" s="7">
        <v>1233996</v>
      </c>
      <c r="M566" s="6">
        <v>55.960491299999987</v>
      </c>
      <c r="N566" s="6">
        <v>63.209687799999998</v>
      </c>
      <c r="O566" s="6">
        <v>81.122279599999999</v>
      </c>
      <c r="P566" s="6">
        <v>63.923588199999998</v>
      </c>
      <c r="Q566" s="6">
        <v>71.880110000000002</v>
      </c>
      <c r="R566" s="6">
        <v>73.212487899999999</v>
      </c>
      <c r="S566" s="5">
        <v>0</v>
      </c>
      <c r="T566" s="5">
        <v>0</v>
      </c>
      <c r="U566" s="5">
        <v>0</v>
      </c>
    </row>
    <row r="567" spans="1:21" x14ac:dyDescent="0.3">
      <c r="A567" s="2" t="s">
        <v>62</v>
      </c>
      <c r="B567" s="2">
        <v>2007</v>
      </c>
      <c r="C567" s="2" t="s">
        <v>63</v>
      </c>
      <c r="D567" s="8">
        <v>97.823166999999998</v>
      </c>
      <c r="E567" s="4">
        <f t="shared" si="9"/>
        <v>86006057.778709725</v>
      </c>
      <c r="F567" s="4">
        <v>0</v>
      </c>
      <c r="G567" s="4">
        <v>70965550.310482502</v>
      </c>
      <c r="H567" s="4"/>
      <c r="I567" s="4">
        <v>70965550.310482502</v>
      </c>
      <c r="J567" s="3">
        <v>5.7270161598166851</v>
      </c>
      <c r="K567" s="4">
        <v>13612.251298953301</v>
      </c>
      <c r="L567" s="4">
        <v>1239630</v>
      </c>
      <c r="M567" s="3">
        <v>55.126535999999987</v>
      </c>
      <c r="N567" s="3">
        <v>63.221486400000003</v>
      </c>
      <c r="O567" s="3">
        <v>83.421604799999997</v>
      </c>
      <c r="P567" s="3">
        <v>65.378959100000003</v>
      </c>
      <c r="Q567" s="3">
        <v>72.224053799999993</v>
      </c>
      <c r="R567" s="3">
        <v>73.552951499999992</v>
      </c>
      <c r="S567" s="2">
        <v>0</v>
      </c>
      <c r="T567" s="2">
        <v>0</v>
      </c>
      <c r="U567" s="2">
        <v>0</v>
      </c>
    </row>
    <row r="568" spans="1:21" x14ac:dyDescent="0.3">
      <c r="A568" s="5" t="s">
        <v>62</v>
      </c>
      <c r="B568" s="5">
        <v>2008</v>
      </c>
      <c r="C568" s="5" t="s">
        <v>63</v>
      </c>
      <c r="D568" s="9">
        <v>153.561195</v>
      </c>
      <c r="E568" s="7">
        <f t="shared" si="9"/>
        <v>135010891.74242038</v>
      </c>
      <c r="F568" s="7">
        <v>17505041.24764391</v>
      </c>
      <c r="G568" s="7"/>
      <c r="H568" s="7"/>
      <c r="I568" s="7">
        <v>17505041.24764391</v>
      </c>
      <c r="J568" s="6">
        <v>5.38696254207251</v>
      </c>
      <c r="K568" s="7">
        <v>14569.153120772829</v>
      </c>
      <c r="L568" s="7">
        <v>1244121</v>
      </c>
      <c r="M568" s="6">
        <v>59.2783278</v>
      </c>
      <c r="N568" s="6">
        <v>67.4865633</v>
      </c>
      <c r="O568" s="6">
        <v>83.651249800000002</v>
      </c>
      <c r="P568" s="6">
        <v>68.574677899999998</v>
      </c>
      <c r="Q568" s="6">
        <v>73.188207699999992</v>
      </c>
      <c r="R568" s="6">
        <v>72.747439700000001</v>
      </c>
      <c r="S568" s="5">
        <v>0</v>
      </c>
      <c r="T568" s="5">
        <v>0</v>
      </c>
      <c r="U568" s="5">
        <v>0</v>
      </c>
    </row>
    <row r="569" spans="1:21" x14ac:dyDescent="0.3">
      <c r="A569" s="2" t="s">
        <v>62</v>
      </c>
      <c r="B569" s="2">
        <v>2009</v>
      </c>
      <c r="C569" s="2" t="s">
        <v>63</v>
      </c>
      <c r="D569" s="8">
        <v>180.995169</v>
      </c>
      <c r="E569" s="4">
        <f t="shared" si="9"/>
        <v>159130821.87046072</v>
      </c>
      <c r="F569" s="4">
        <v>113381299.2967452</v>
      </c>
      <c r="G569" s="4">
        <v>390522612.55144501</v>
      </c>
      <c r="H569" s="4">
        <v>0</v>
      </c>
      <c r="I569" s="4">
        <v>503903911.84819019</v>
      </c>
      <c r="J569" s="3">
        <v>3.3150769979078092</v>
      </c>
      <c r="K569" s="4">
        <v>15104.80815487459</v>
      </c>
      <c r="L569" s="4">
        <v>1247429</v>
      </c>
      <c r="M569" s="3">
        <v>58.5892938</v>
      </c>
      <c r="N569" s="3">
        <v>66.822305</v>
      </c>
      <c r="O569" s="3">
        <v>75.692795500000003</v>
      </c>
      <c r="P569" s="3">
        <v>68.110581799999991</v>
      </c>
      <c r="Q569" s="3">
        <v>72.634701199999995</v>
      </c>
      <c r="R569" s="3">
        <v>72.178453099999999</v>
      </c>
      <c r="S569" s="2">
        <v>0</v>
      </c>
      <c r="T569" s="2">
        <v>0</v>
      </c>
      <c r="U569" s="2">
        <v>0</v>
      </c>
    </row>
    <row r="570" spans="1:21" x14ac:dyDescent="0.3">
      <c r="A570" s="5" t="s">
        <v>62</v>
      </c>
      <c r="B570" s="5">
        <v>2010</v>
      </c>
      <c r="C570" s="5" t="s">
        <v>63</v>
      </c>
      <c r="D570" s="9">
        <v>152.647257</v>
      </c>
      <c r="E570" s="7">
        <f t="shared" si="9"/>
        <v>134207358.11286451</v>
      </c>
      <c r="F570" s="7">
        <v>3525.25746470582</v>
      </c>
      <c r="G570" s="7"/>
      <c r="H570" s="7"/>
      <c r="I570" s="7">
        <v>3525.25746470582</v>
      </c>
      <c r="J570" s="6">
        <v>4.3772032234429332</v>
      </c>
      <c r="K570" s="7">
        <v>15919.66227625246</v>
      </c>
      <c r="L570" s="7">
        <v>1250400</v>
      </c>
      <c r="M570" s="6">
        <v>54.451731799999997</v>
      </c>
      <c r="N570" s="6">
        <v>65.599641699999992</v>
      </c>
      <c r="O570" s="6">
        <v>74.477470400000001</v>
      </c>
      <c r="P570" s="6">
        <v>67.620361799999998</v>
      </c>
      <c r="Q570" s="6">
        <v>71.378192499999997</v>
      </c>
      <c r="R570" s="6">
        <v>69.399490099999994</v>
      </c>
      <c r="S570" s="5">
        <v>0</v>
      </c>
      <c r="T570" s="5">
        <v>0</v>
      </c>
      <c r="U570" s="5">
        <v>0</v>
      </c>
    </row>
    <row r="571" spans="1:21" x14ac:dyDescent="0.3">
      <c r="A571" s="2" t="s">
        <v>62</v>
      </c>
      <c r="B571" s="2">
        <v>2011</v>
      </c>
      <c r="C571" s="2" t="s">
        <v>63</v>
      </c>
      <c r="D571" s="8">
        <v>210.67459500000001</v>
      </c>
      <c r="E571" s="4">
        <f t="shared" si="9"/>
        <v>185224951.77524021</v>
      </c>
      <c r="F571" s="4"/>
      <c r="G571" s="4"/>
      <c r="H571" s="4">
        <v>7134362.8495664801</v>
      </c>
      <c r="I571" s="4">
        <v>7134362.8495664801</v>
      </c>
      <c r="J571" s="3">
        <v>4.0775380661033296</v>
      </c>
      <c r="K571" s="4">
        <v>16883.565820961008</v>
      </c>
      <c r="L571" s="4">
        <v>1252404</v>
      </c>
      <c r="M571" s="3">
        <v>54.807612399999996</v>
      </c>
      <c r="N571" s="3">
        <v>65.860794299999995</v>
      </c>
      <c r="O571" s="3">
        <v>73.953524799999997</v>
      </c>
      <c r="P571" s="3">
        <v>66.76249589999999</v>
      </c>
      <c r="Q571" s="3">
        <v>72.176189100000002</v>
      </c>
      <c r="R571" s="3">
        <v>69.500871500000002</v>
      </c>
      <c r="S571" s="2">
        <v>0</v>
      </c>
      <c r="T571" s="2">
        <v>0</v>
      </c>
      <c r="U571" s="2">
        <v>0</v>
      </c>
    </row>
    <row r="572" spans="1:21" x14ac:dyDescent="0.3">
      <c r="A572" s="5" t="s">
        <v>62</v>
      </c>
      <c r="B572" s="5">
        <v>2012</v>
      </c>
      <c r="C572" s="5" t="s">
        <v>63</v>
      </c>
      <c r="D572" s="9">
        <v>208.709553</v>
      </c>
      <c r="E572" s="7">
        <f t="shared" si="9"/>
        <v>183497288.26798952</v>
      </c>
      <c r="F572" s="7">
        <v>136860623.76751131</v>
      </c>
      <c r="G572" s="7"/>
      <c r="H572" s="7"/>
      <c r="I572" s="7">
        <v>136860623.76751131</v>
      </c>
      <c r="J572" s="6">
        <v>3.4961183647086642</v>
      </c>
      <c r="K572" s="7">
        <v>17259.4018011357</v>
      </c>
      <c r="L572" s="7">
        <v>1255882</v>
      </c>
      <c r="M572" s="6">
        <v>56.781419100000001</v>
      </c>
      <c r="N572" s="6">
        <v>70.581697399999996</v>
      </c>
      <c r="O572" s="6">
        <v>84.1734668</v>
      </c>
      <c r="P572" s="6">
        <v>70.141647399999997</v>
      </c>
      <c r="Q572" s="6">
        <v>74.671894299999991</v>
      </c>
      <c r="R572" s="6">
        <v>71.172494</v>
      </c>
      <c r="S572" s="5">
        <v>0</v>
      </c>
      <c r="T572" s="5">
        <v>0</v>
      </c>
      <c r="U572" s="5">
        <v>0</v>
      </c>
    </row>
    <row r="573" spans="1:21" x14ac:dyDescent="0.3">
      <c r="A573" s="2" t="s">
        <v>62</v>
      </c>
      <c r="B573" s="2">
        <v>2013</v>
      </c>
      <c r="C573" s="2" t="s">
        <v>63</v>
      </c>
      <c r="D573" s="8">
        <v>180.41267199999999</v>
      </c>
      <c r="E573" s="4">
        <f t="shared" si="9"/>
        <v>158618690.92873883</v>
      </c>
      <c r="F573" s="4">
        <v>9365620.5653512981</v>
      </c>
      <c r="G573" s="4"/>
      <c r="H573" s="4"/>
      <c r="I573" s="4">
        <v>9365620.5653512981</v>
      </c>
      <c r="J573" s="3">
        <v>3.3604060997413261</v>
      </c>
      <c r="K573" s="4">
        <v>18435.203185865241</v>
      </c>
      <c r="L573" s="4">
        <v>1258927</v>
      </c>
      <c r="M573" s="3">
        <v>56.366927099999998</v>
      </c>
      <c r="N573" s="3">
        <v>69.350387299999994</v>
      </c>
      <c r="O573" s="3">
        <v>83.884317999999993</v>
      </c>
      <c r="P573" s="3">
        <v>70.029216099999999</v>
      </c>
      <c r="Q573" s="3">
        <v>73.022112399999997</v>
      </c>
      <c r="R573" s="3">
        <v>71.038451199999997</v>
      </c>
      <c r="S573" s="2">
        <v>0</v>
      </c>
      <c r="T573" s="2">
        <v>0</v>
      </c>
      <c r="U573" s="2">
        <v>0</v>
      </c>
    </row>
    <row r="574" spans="1:21" x14ac:dyDescent="0.3">
      <c r="A574" s="5" t="s">
        <v>62</v>
      </c>
      <c r="B574" s="5">
        <v>2014</v>
      </c>
      <c r="C574" s="5" t="s">
        <v>63</v>
      </c>
      <c r="D574" s="9">
        <v>116.54965900000001</v>
      </c>
      <c r="E574" s="7">
        <f t="shared" si="9"/>
        <v>102470376.02087566</v>
      </c>
      <c r="F574" s="7">
        <v>32342269.258442499</v>
      </c>
      <c r="G574" s="7"/>
      <c r="H574" s="7">
        <v>8303214.23556366</v>
      </c>
      <c r="I574" s="7">
        <v>40645483.494006157</v>
      </c>
      <c r="J574" s="6">
        <v>3.8269698200933679</v>
      </c>
      <c r="K574" s="7">
        <v>19294.46828295555</v>
      </c>
      <c r="L574" s="7">
        <v>1261208</v>
      </c>
      <c r="M574" s="6">
        <v>57.091571999999999</v>
      </c>
      <c r="N574" s="6">
        <v>71.807856799999996</v>
      </c>
      <c r="O574" s="6">
        <v>79.723993499999992</v>
      </c>
      <c r="P574" s="6">
        <v>72.799374599999993</v>
      </c>
      <c r="Q574" s="6">
        <v>73.4862696</v>
      </c>
      <c r="R574" s="6">
        <v>71.505116599999994</v>
      </c>
      <c r="S574" s="5">
        <v>0</v>
      </c>
      <c r="T574" s="5">
        <v>0</v>
      </c>
      <c r="U574" s="5">
        <v>0</v>
      </c>
    </row>
    <row r="575" spans="1:21" x14ac:dyDescent="0.3">
      <c r="A575" s="2" t="s">
        <v>62</v>
      </c>
      <c r="B575" s="2">
        <v>2015</v>
      </c>
      <c r="C575" s="2" t="s">
        <v>63</v>
      </c>
      <c r="D575" s="8">
        <v>143.86332100000001</v>
      </c>
      <c r="E575" s="4">
        <f t="shared" si="9"/>
        <v>126484527.92540507</v>
      </c>
      <c r="F575" s="4">
        <v>8927697.0703620296</v>
      </c>
      <c r="G575" s="4"/>
      <c r="H575" s="4"/>
      <c r="I575" s="4">
        <v>8927697.0703620296</v>
      </c>
      <c r="J575" s="3">
        <v>3.6905569036943291</v>
      </c>
      <c r="K575" s="4">
        <v>20269.523509561051</v>
      </c>
      <c r="L575" s="4">
        <v>1262879</v>
      </c>
      <c r="M575" s="3">
        <v>53.732738299999987</v>
      </c>
      <c r="N575" s="3">
        <v>71.936300099999997</v>
      </c>
      <c r="O575" s="3">
        <v>83.399800099999993</v>
      </c>
      <c r="P575" s="3">
        <v>70.832034999999991</v>
      </c>
      <c r="Q575" s="3">
        <v>72.1727487</v>
      </c>
      <c r="R575" s="3">
        <v>70.852209000000002</v>
      </c>
      <c r="S575" s="2">
        <v>0</v>
      </c>
      <c r="T575" s="2">
        <v>0</v>
      </c>
      <c r="U575" s="2">
        <v>0</v>
      </c>
    </row>
    <row r="576" spans="1:21" x14ac:dyDescent="0.3">
      <c r="A576" s="5" t="s">
        <v>62</v>
      </c>
      <c r="B576" s="5">
        <v>2016</v>
      </c>
      <c r="C576" s="5" t="s">
        <v>63</v>
      </c>
      <c r="D576" s="9">
        <v>96.811436</v>
      </c>
      <c r="E576" s="7">
        <f t="shared" si="9"/>
        <v>85116544.614179775</v>
      </c>
      <c r="F576" s="7">
        <v>71190686.006502658</v>
      </c>
      <c r="G576" s="7">
        <v>168517672.3159596</v>
      </c>
      <c r="H576" s="7"/>
      <c r="I576" s="7">
        <v>239708358.3224622</v>
      </c>
      <c r="J576" s="6">
        <v>3.8624682634000038</v>
      </c>
      <c r="K576" s="7">
        <v>21951.83074331106</v>
      </c>
      <c r="L576" s="7">
        <v>1263747</v>
      </c>
      <c r="M576" s="6">
        <v>54.380064599999997</v>
      </c>
      <c r="N576" s="6">
        <v>72.73937699999999</v>
      </c>
      <c r="O576" s="6">
        <v>83.5116163</v>
      </c>
      <c r="P576" s="6">
        <v>71.62735459999999</v>
      </c>
      <c r="Q576" s="6">
        <v>73.521675500000001</v>
      </c>
      <c r="R576" s="6">
        <v>71.160527599999995</v>
      </c>
      <c r="S576" s="5">
        <v>0</v>
      </c>
      <c r="T576" s="5">
        <v>0</v>
      </c>
      <c r="U576" s="5">
        <v>0</v>
      </c>
    </row>
    <row r="577" spans="1:21" x14ac:dyDescent="0.3">
      <c r="A577" s="2" t="s">
        <v>62</v>
      </c>
      <c r="B577" s="2">
        <v>2017</v>
      </c>
      <c r="C577" s="2" t="s">
        <v>63</v>
      </c>
      <c r="D577" s="8">
        <v>65.994187999999994</v>
      </c>
      <c r="E577" s="4">
        <f t="shared" si="9"/>
        <v>58022042.428732976</v>
      </c>
      <c r="F577" s="4">
        <v>4200301.7656480847</v>
      </c>
      <c r="G577" s="4">
        <v>0</v>
      </c>
      <c r="H577" s="4"/>
      <c r="I577" s="4">
        <v>4200301.7656480847</v>
      </c>
      <c r="J577" s="3">
        <v>3.9379838063235302</v>
      </c>
      <c r="K577" s="4">
        <v>22897.97009221022</v>
      </c>
      <c r="L577" s="4">
        <v>1264887</v>
      </c>
      <c r="M577" s="3">
        <v>53.634809799999999</v>
      </c>
      <c r="N577" s="3">
        <v>71.345376899999991</v>
      </c>
      <c r="O577" s="3">
        <v>83.223536799999991</v>
      </c>
      <c r="P577" s="3">
        <v>71.685887100000002</v>
      </c>
      <c r="Q577" s="3">
        <v>72.906475399999991</v>
      </c>
      <c r="R577" s="3">
        <v>70.567067199999997</v>
      </c>
      <c r="S577" s="2">
        <v>0</v>
      </c>
      <c r="T577" s="2">
        <v>0</v>
      </c>
      <c r="U577" s="2">
        <v>0</v>
      </c>
    </row>
    <row r="578" spans="1:21" x14ac:dyDescent="0.3">
      <c r="A578" s="5" t="s">
        <v>62</v>
      </c>
      <c r="B578" s="5">
        <v>2018</v>
      </c>
      <c r="C578" s="5" t="s">
        <v>63</v>
      </c>
      <c r="D578" s="9">
        <v>133.41550100000001</v>
      </c>
      <c r="E578" s="7">
        <f t="shared" si="9"/>
        <v>117298812.12679923</v>
      </c>
      <c r="F578" s="7">
        <v>588670.43126629747</v>
      </c>
      <c r="G578" s="7">
        <v>133710396.0179911</v>
      </c>
      <c r="H578" s="7"/>
      <c r="I578" s="7">
        <v>134299066.4492574</v>
      </c>
      <c r="J578" s="6">
        <v>4.0067405719854889</v>
      </c>
      <c r="K578" s="7">
        <v>23415.523758911801</v>
      </c>
      <c r="L578" s="7">
        <v>1265577</v>
      </c>
      <c r="M578" s="6">
        <v>53.959761299999997</v>
      </c>
      <c r="N578" s="6">
        <v>69.4936139</v>
      </c>
      <c r="O578" s="6">
        <v>81.253922399999993</v>
      </c>
      <c r="P578" s="6">
        <v>71.277708599999997</v>
      </c>
      <c r="Q578" s="6">
        <v>72.914574799999997</v>
      </c>
      <c r="R578" s="6">
        <v>70.4726797</v>
      </c>
      <c r="S578" s="5">
        <v>0</v>
      </c>
      <c r="T578" s="5">
        <v>0</v>
      </c>
      <c r="U578" s="5">
        <v>0</v>
      </c>
    </row>
    <row r="579" spans="1:21" x14ac:dyDescent="0.3">
      <c r="A579" s="2" t="s">
        <v>62</v>
      </c>
      <c r="B579" s="2">
        <v>2019</v>
      </c>
      <c r="C579" s="2" t="s">
        <v>63</v>
      </c>
      <c r="D579" s="8">
        <v>95.287662999999995</v>
      </c>
      <c r="E579" s="4">
        <f t="shared" si="9"/>
        <v>83776844.493045509</v>
      </c>
      <c r="F579" s="4">
        <v>16578714.797819169</v>
      </c>
      <c r="G579" s="4">
        <v>0</v>
      </c>
      <c r="H579" s="4"/>
      <c r="I579" s="4">
        <v>16578714.797819169</v>
      </c>
      <c r="J579" s="3">
        <v>2.8912849934651632</v>
      </c>
      <c r="K579" s="4">
        <v>24374.781828656629</v>
      </c>
      <c r="L579" s="4">
        <v>1265985</v>
      </c>
      <c r="M579" s="3">
        <v>54.328072199999987</v>
      </c>
      <c r="N579" s="3">
        <v>68.054138100000003</v>
      </c>
      <c r="O579" s="3">
        <v>81.765342099999998</v>
      </c>
      <c r="P579" s="3">
        <v>70.004306700000001</v>
      </c>
      <c r="Q579" s="3">
        <v>72.333803000000003</v>
      </c>
      <c r="R579" s="3">
        <v>66.106037999999998</v>
      </c>
      <c r="S579" s="2">
        <v>0</v>
      </c>
      <c r="T579" s="2">
        <v>0</v>
      </c>
      <c r="U579" s="2">
        <v>0</v>
      </c>
    </row>
    <row r="580" spans="1:21" x14ac:dyDescent="0.3">
      <c r="A580" s="5" t="s">
        <v>62</v>
      </c>
      <c r="B580" s="5">
        <v>2020</v>
      </c>
      <c r="C580" s="5" t="s">
        <v>63</v>
      </c>
      <c r="D580" s="9">
        <v>447.66284999999999</v>
      </c>
      <c r="E580" s="7">
        <f t="shared" si="9"/>
        <v>393584854.41880918</v>
      </c>
      <c r="F580" s="7">
        <v>0</v>
      </c>
      <c r="G580" s="7"/>
      <c r="H580" s="7"/>
      <c r="I580" s="7">
        <v>0</v>
      </c>
      <c r="J580" s="6">
        <v>-14.54653814901657</v>
      </c>
      <c r="K580" s="7">
        <v>21621.597122515759</v>
      </c>
      <c r="L580" s="7">
        <v>1266014</v>
      </c>
      <c r="M580" s="6">
        <v>54.790931399999998</v>
      </c>
      <c r="N580" s="6">
        <v>67.516238799999996</v>
      </c>
      <c r="O580" s="6">
        <v>81.760330299999993</v>
      </c>
      <c r="P580" s="6">
        <v>70.590628199999998</v>
      </c>
      <c r="Q580" s="6">
        <v>73.396374600000001</v>
      </c>
      <c r="R580" s="6">
        <v>65.427979300000004</v>
      </c>
      <c r="S580" s="5">
        <v>0</v>
      </c>
      <c r="T580" s="5">
        <v>0</v>
      </c>
      <c r="U580" s="5">
        <v>0</v>
      </c>
    </row>
    <row r="581" spans="1:21" x14ac:dyDescent="0.3">
      <c r="A581" s="2" t="s">
        <v>62</v>
      </c>
      <c r="B581" s="2">
        <v>2021</v>
      </c>
      <c r="C581" s="2" t="s">
        <v>63</v>
      </c>
      <c r="D581" s="8">
        <v>297.87424399999998</v>
      </c>
      <c r="E581" s="4">
        <f t="shared" si="9"/>
        <v>261890820.20063278</v>
      </c>
      <c r="F581" s="4">
        <v>1800000</v>
      </c>
      <c r="G581" s="4">
        <v>52631579</v>
      </c>
      <c r="H581" s="4"/>
      <c r="I581" s="4">
        <v>54431579</v>
      </c>
      <c r="J581" s="3">
        <v>3.4037986617766189</v>
      </c>
      <c r="K581" s="4">
        <v>23010.20138269052</v>
      </c>
      <c r="L581" s="4">
        <v>1266334</v>
      </c>
      <c r="M581" s="3">
        <v>56.275467799999987</v>
      </c>
      <c r="N581" s="3">
        <v>65.705001100000004</v>
      </c>
      <c r="O581" s="3">
        <v>81.719493299999996</v>
      </c>
      <c r="P581" s="3">
        <v>69.66233969999999</v>
      </c>
      <c r="Q581" s="3">
        <v>69.378518700000001</v>
      </c>
      <c r="R581" s="3">
        <v>63.313612199999987</v>
      </c>
      <c r="S581" s="2">
        <v>0</v>
      </c>
      <c r="T581" s="2">
        <v>0</v>
      </c>
      <c r="U581" s="2">
        <v>0</v>
      </c>
    </row>
    <row r="582" spans="1:21" x14ac:dyDescent="0.3">
      <c r="A582" s="2" t="s">
        <v>64</v>
      </c>
      <c r="B582" s="2">
        <v>2002</v>
      </c>
      <c r="C582" s="2" t="s">
        <v>65</v>
      </c>
      <c r="D582" s="8">
        <v>3531.4554360000002</v>
      </c>
      <c r="E582" s="4">
        <f t="shared" si="9"/>
        <v>3104853068.9213381</v>
      </c>
      <c r="F582" s="4">
        <v>13796991.05906014</v>
      </c>
      <c r="G582" s="4"/>
      <c r="H582" s="4"/>
      <c r="I582" s="4">
        <v>13796991.05906014</v>
      </c>
      <c r="J582" s="3">
        <v>9.6685053466942747</v>
      </c>
      <c r="K582" s="4">
        <v>580.04092142718525</v>
      </c>
      <c r="L582" s="4">
        <v>18958338</v>
      </c>
      <c r="M582" s="3">
        <v>34.4104691</v>
      </c>
      <c r="N582" s="3">
        <v>35.9983942</v>
      </c>
      <c r="O582" s="3">
        <v>63.4588082</v>
      </c>
      <c r="P582" s="3">
        <v>50.945970600000003</v>
      </c>
      <c r="Q582" s="3">
        <v>45.593281999999988</v>
      </c>
      <c r="R582" s="3">
        <v>51.8293435</v>
      </c>
      <c r="S582" s="2">
        <v>0</v>
      </c>
      <c r="T582" s="2">
        <v>0</v>
      </c>
      <c r="U582" s="2">
        <v>0</v>
      </c>
    </row>
    <row r="583" spans="1:21" x14ac:dyDescent="0.3">
      <c r="A583" s="5" t="s">
        <v>64</v>
      </c>
      <c r="B583" s="5">
        <v>2003</v>
      </c>
      <c r="C583" s="5" t="s">
        <v>65</v>
      </c>
      <c r="D583" s="9">
        <v>1428.2168409999999</v>
      </c>
      <c r="E583" s="7">
        <f t="shared" si="9"/>
        <v>1255687215.1519308</v>
      </c>
      <c r="F583" s="7">
        <v>1218031.87018926</v>
      </c>
      <c r="G583" s="7"/>
      <c r="H583" s="7"/>
      <c r="I583" s="7">
        <v>1218031.87018926</v>
      </c>
      <c r="J583" s="6">
        <v>7.2177008656965569</v>
      </c>
      <c r="K583" s="7">
        <v>619.9875106817716</v>
      </c>
      <c r="L583" s="7">
        <v>19392475</v>
      </c>
      <c r="M583" s="6">
        <v>35.415679799999999</v>
      </c>
      <c r="N583" s="6">
        <v>31.630825999999999</v>
      </c>
      <c r="O583" s="6">
        <v>62.664050799999998</v>
      </c>
      <c r="P583" s="6">
        <v>49.252178399999998</v>
      </c>
      <c r="Q583" s="6">
        <v>43.832492799999997</v>
      </c>
      <c r="R583" s="6">
        <v>53.5039327</v>
      </c>
      <c r="S583" s="5">
        <v>0</v>
      </c>
      <c r="T583" s="5">
        <v>0</v>
      </c>
      <c r="U583" s="5">
        <v>0</v>
      </c>
    </row>
    <row r="584" spans="1:21" x14ac:dyDescent="0.3">
      <c r="A584" s="2" t="s">
        <v>64</v>
      </c>
      <c r="B584" s="2">
        <v>2004</v>
      </c>
      <c r="C584" s="2" t="s">
        <v>65</v>
      </c>
      <c r="D584" s="8">
        <v>1525.43587</v>
      </c>
      <c r="E584" s="4">
        <f t="shared" si="9"/>
        <v>1341162115.2373481</v>
      </c>
      <c r="F584" s="4">
        <v>0</v>
      </c>
      <c r="G584" s="4"/>
      <c r="H584" s="4"/>
      <c r="I584" s="4">
        <v>0</v>
      </c>
      <c r="J584" s="3">
        <v>8.204704947885773</v>
      </c>
      <c r="K584" s="4">
        <v>673.34571726878096</v>
      </c>
      <c r="L584" s="4">
        <v>19840313</v>
      </c>
      <c r="M584" s="3">
        <v>33.481180199999997</v>
      </c>
      <c r="N584" s="3">
        <v>35.801521600000001</v>
      </c>
      <c r="O584" s="3">
        <v>60.943779900000003</v>
      </c>
      <c r="P584" s="3">
        <v>46.5649649</v>
      </c>
      <c r="Q584" s="3">
        <v>45.809259099999998</v>
      </c>
      <c r="R584" s="3">
        <v>55.064883399999999</v>
      </c>
      <c r="S584" s="2">
        <v>0</v>
      </c>
      <c r="T584" s="2">
        <v>0</v>
      </c>
      <c r="U584" s="2">
        <v>0</v>
      </c>
    </row>
    <row r="585" spans="1:21" x14ac:dyDescent="0.3">
      <c r="A585" s="5" t="s">
        <v>64</v>
      </c>
      <c r="B585" s="5">
        <v>2005</v>
      </c>
      <c r="C585" s="5" t="s">
        <v>65</v>
      </c>
      <c r="D585" s="9">
        <v>1592.6922039999999</v>
      </c>
      <c r="E585" s="7">
        <f t="shared" si="9"/>
        <v>1400293835.5177617</v>
      </c>
      <c r="F585" s="7">
        <v>17144843.461951759</v>
      </c>
      <c r="G585" s="7"/>
      <c r="H585" s="7"/>
      <c r="I585" s="7">
        <v>17144843.461951759</v>
      </c>
      <c r="J585" s="6">
        <v>6.3120237802319252</v>
      </c>
      <c r="K585" s="7">
        <v>721.41176194348611</v>
      </c>
      <c r="L585" s="7">
        <v>20304569</v>
      </c>
      <c r="M585" s="6">
        <v>34.423304199999997</v>
      </c>
      <c r="N585" s="6">
        <v>36.815951099999999</v>
      </c>
      <c r="O585" s="6">
        <v>64.477134599999999</v>
      </c>
      <c r="P585" s="6">
        <v>45.6361086</v>
      </c>
      <c r="Q585" s="6">
        <v>47.273285899999998</v>
      </c>
      <c r="R585" s="6">
        <v>57.105740099999998</v>
      </c>
      <c r="S585" s="5">
        <v>0</v>
      </c>
      <c r="T585" s="5">
        <v>0</v>
      </c>
      <c r="U585" s="5">
        <v>0</v>
      </c>
    </row>
    <row r="586" spans="1:21" x14ac:dyDescent="0.3">
      <c r="A586" s="2" t="s">
        <v>64</v>
      </c>
      <c r="B586" s="2">
        <v>2006</v>
      </c>
      <c r="C586" s="2" t="s">
        <v>65</v>
      </c>
      <c r="D586" s="8">
        <v>4151.6894840000004</v>
      </c>
      <c r="E586" s="4">
        <f t="shared" si="9"/>
        <v>3650162395.9911828</v>
      </c>
      <c r="F586" s="4">
        <v>40638.981705134</v>
      </c>
      <c r="G586" s="4"/>
      <c r="H586" s="4"/>
      <c r="I586" s="4">
        <v>40638.981705134</v>
      </c>
      <c r="J586" s="3">
        <v>9.9106775678291541</v>
      </c>
      <c r="K586" s="4">
        <v>798.38766764254149</v>
      </c>
      <c r="L586" s="4">
        <v>20787087</v>
      </c>
      <c r="M586" s="3">
        <v>35.597147199999988</v>
      </c>
      <c r="N586" s="3">
        <v>38.3014431</v>
      </c>
      <c r="O586" s="3">
        <v>70.398092199999994</v>
      </c>
      <c r="P586" s="3">
        <v>46.189513599999998</v>
      </c>
      <c r="Q586" s="3">
        <v>48.4386054</v>
      </c>
      <c r="R586" s="3">
        <v>56.659480899999998</v>
      </c>
      <c r="S586" s="2">
        <v>0</v>
      </c>
      <c r="T586" s="2">
        <v>0</v>
      </c>
      <c r="U586" s="2">
        <v>0</v>
      </c>
    </row>
    <row r="587" spans="1:21" x14ac:dyDescent="0.3">
      <c r="A587" s="5" t="s">
        <v>64</v>
      </c>
      <c r="B587" s="5">
        <v>2007</v>
      </c>
      <c r="C587" s="5" t="s">
        <v>65</v>
      </c>
      <c r="D587" s="9">
        <v>1916.1628559999999</v>
      </c>
      <c r="E587" s="7">
        <f t="shared" si="9"/>
        <v>1684688999.1463211</v>
      </c>
      <c r="F587" s="7">
        <v>201372286.6935302</v>
      </c>
      <c r="G587" s="7"/>
      <c r="H587" s="7"/>
      <c r="I587" s="7">
        <v>201372286.6935302</v>
      </c>
      <c r="J587" s="6">
        <v>7.649353937958665</v>
      </c>
      <c r="K587" s="7">
        <v>861.98768274353915</v>
      </c>
      <c r="L587" s="7">
        <v>21287635</v>
      </c>
      <c r="M587" s="6">
        <v>37.438475099999998</v>
      </c>
      <c r="N587" s="6">
        <v>39.727879799999997</v>
      </c>
      <c r="O587" s="6">
        <v>67.915011699999994</v>
      </c>
      <c r="P587" s="6">
        <v>46.943840100000003</v>
      </c>
      <c r="Q587" s="6">
        <v>47.446081399999997</v>
      </c>
      <c r="R587" s="6">
        <v>55.788586799999997</v>
      </c>
      <c r="S587" s="5">
        <v>0</v>
      </c>
      <c r="T587" s="5">
        <v>0</v>
      </c>
      <c r="U587" s="5">
        <v>0</v>
      </c>
    </row>
    <row r="588" spans="1:21" x14ac:dyDescent="0.3">
      <c r="A588" s="2" t="s">
        <v>64</v>
      </c>
      <c r="B588" s="2">
        <v>2008</v>
      </c>
      <c r="C588" s="2" t="s">
        <v>65</v>
      </c>
      <c r="D588" s="8">
        <v>2091.471896</v>
      </c>
      <c r="E588" s="4">
        <f t="shared" si="9"/>
        <v>1838820580.5064926</v>
      </c>
      <c r="F588" s="4">
        <v>67738806.231484294</v>
      </c>
      <c r="G588" s="4">
        <v>35525358.400668502</v>
      </c>
      <c r="H588" s="4"/>
      <c r="I588" s="4">
        <v>103264164.6321528</v>
      </c>
      <c r="J588" s="3">
        <v>6.8780294256099523</v>
      </c>
      <c r="K588" s="4">
        <v>916.15585023395795</v>
      </c>
      <c r="L588" s="4">
        <v>21819036</v>
      </c>
      <c r="M588" s="3">
        <v>38.926250199999998</v>
      </c>
      <c r="N588" s="3">
        <v>40.0904174</v>
      </c>
      <c r="O588" s="3">
        <v>69.009713300000001</v>
      </c>
      <c r="P588" s="3">
        <v>48.179786399999998</v>
      </c>
      <c r="Q588" s="3">
        <v>46.9539361</v>
      </c>
      <c r="R588" s="3">
        <v>55.3081855</v>
      </c>
      <c r="S588" s="2">
        <v>0</v>
      </c>
      <c r="T588" s="2">
        <v>0</v>
      </c>
      <c r="U588" s="2">
        <v>0</v>
      </c>
    </row>
    <row r="589" spans="1:21" x14ac:dyDescent="0.3">
      <c r="A589" s="5" t="s">
        <v>64</v>
      </c>
      <c r="B589" s="5">
        <v>2009</v>
      </c>
      <c r="C589" s="5" t="s">
        <v>65</v>
      </c>
      <c r="D589" s="9">
        <v>2240.6988110000002</v>
      </c>
      <c r="E589" s="7">
        <f t="shared" si="9"/>
        <v>1970020776.4031212</v>
      </c>
      <c r="F589" s="7">
        <v>151327512.36368531</v>
      </c>
      <c r="G589" s="7"/>
      <c r="H589" s="7">
        <v>20727738.666192099</v>
      </c>
      <c r="I589" s="7">
        <v>172055251.02987739</v>
      </c>
      <c r="J589" s="6">
        <v>5.9289718746081519</v>
      </c>
      <c r="K589" s="7">
        <v>951.48545376385766</v>
      </c>
      <c r="L589" s="7">
        <v>22391745</v>
      </c>
      <c r="M589" s="6">
        <v>36.9061491</v>
      </c>
      <c r="N589" s="6">
        <v>42.638085699999998</v>
      </c>
      <c r="O589" s="6">
        <v>70.469718700000001</v>
      </c>
      <c r="P589" s="6">
        <v>48.4845392</v>
      </c>
      <c r="Q589" s="6">
        <v>47.035434000000002</v>
      </c>
      <c r="R589" s="6">
        <v>54.519880399999998</v>
      </c>
      <c r="S589" s="5">
        <v>0</v>
      </c>
      <c r="T589" s="5">
        <v>0</v>
      </c>
      <c r="U589" s="5">
        <v>0</v>
      </c>
    </row>
    <row r="590" spans="1:21" x14ac:dyDescent="0.3">
      <c r="A590" s="2" t="s">
        <v>64</v>
      </c>
      <c r="B590" s="2">
        <v>2010</v>
      </c>
      <c r="C590" s="2" t="s">
        <v>65</v>
      </c>
      <c r="D590" s="8">
        <v>2190.2700049999999</v>
      </c>
      <c r="E590" s="4">
        <f t="shared" si="9"/>
        <v>1925683806.587501</v>
      </c>
      <c r="F590" s="4">
        <v>90713784.966186181</v>
      </c>
      <c r="G590" s="4"/>
      <c r="H590" s="4">
        <v>29804356.426039498</v>
      </c>
      <c r="I590" s="4">
        <v>120518141.3922257</v>
      </c>
      <c r="J590" s="3">
        <v>6.6797293566286413</v>
      </c>
      <c r="K590" s="4">
        <v>1000.2411486648</v>
      </c>
      <c r="L590" s="4">
        <v>22999235</v>
      </c>
      <c r="M590" s="3">
        <v>34.858076199999999</v>
      </c>
      <c r="N590" s="3">
        <v>38.739660800000003</v>
      </c>
      <c r="O590" s="3">
        <v>65.516748100000001</v>
      </c>
      <c r="P590" s="3">
        <v>46.4542085</v>
      </c>
      <c r="Q590" s="3">
        <v>46.013863399999998</v>
      </c>
      <c r="R590" s="3">
        <v>51.298916599999998</v>
      </c>
      <c r="S590" s="2">
        <v>0</v>
      </c>
      <c r="T590" s="2">
        <v>0</v>
      </c>
      <c r="U590" s="2">
        <v>0</v>
      </c>
    </row>
    <row r="591" spans="1:21" x14ac:dyDescent="0.3">
      <c r="A591" s="5" t="s">
        <v>64</v>
      </c>
      <c r="B591" s="5">
        <v>2011</v>
      </c>
      <c r="C591" s="5" t="s">
        <v>65</v>
      </c>
      <c r="D591" s="9">
        <v>2282.758754</v>
      </c>
      <c r="E591" s="7">
        <f t="shared" si="9"/>
        <v>2006999847.9131167</v>
      </c>
      <c r="F591" s="7">
        <v>105049153.16689759</v>
      </c>
      <c r="G591" s="7"/>
      <c r="H591" s="7"/>
      <c r="I591" s="7">
        <v>105049153.16689759</v>
      </c>
      <c r="J591" s="6">
        <v>7.134058423004447</v>
      </c>
      <c r="K591" s="7">
        <v>1063.655432963109</v>
      </c>
      <c r="L591" s="7">
        <v>23649039</v>
      </c>
      <c r="M591" s="6">
        <v>34.735985300000003</v>
      </c>
      <c r="N591" s="6">
        <v>37.679920899999999</v>
      </c>
      <c r="O591" s="6">
        <v>64.373293799999999</v>
      </c>
      <c r="P591" s="6">
        <v>46.030700099999997</v>
      </c>
      <c r="Q591" s="6">
        <v>43.474007700000001</v>
      </c>
      <c r="R591" s="6">
        <v>49.890356500000003</v>
      </c>
      <c r="S591" s="5">
        <v>0</v>
      </c>
      <c r="T591" s="5">
        <v>0</v>
      </c>
      <c r="U591" s="5">
        <v>0</v>
      </c>
    </row>
    <row r="592" spans="1:21" x14ac:dyDescent="0.3">
      <c r="A592" s="2" t="s">
        <v>64</v>
      </c>
      <c r="B592" s="2">
        <v>2012</v>
      </c>
      <c r="C592" s="2" t="s">
        <v>65</v>
      </c>
      <c r="D592" s="8">
        <v>2346.9778200000001</v>
      </c>
      <c r="E592" s="4">
        <f t="shared" si="9"/>
        <v>2063461204.3614392</v>
      </c>
      <c r="F592" s="4">
        <v>77091590.203539833</v>
      </c>
      <c r="G592" s="4">
        <v>1254892178.4014549</v>
      </c>
      <c r="H592" s="4">
        <v>92755761.0761417</v>
      </c>
      <c r="I592" s="4">
        <v>1424739529.6811359</v>
      </c>
      <c r="J592" s="3">
        <v>7.9945031610722026</v>
      </c>
      <c r="K592" s="4">
        <v>1075.877860853609</v>
      </c>
      <c r="L592" s="4">
        <v>24337846</v>
      </c>
      <c r="M592" s="3">
        <v>36.0252415</v>
      </c>
      <c r="N592" s="3">
        <v>40.496387200000001</v>
      </c>
      <c r="O592" s="3">
        <v>66.593358699999996</v>
      </c>
      <c r="P592" s="3">
        <v>46.894735799999999</v>
      </c>
      <c r="Q592" s="3">
        <v>45.335653299999997</v>
      </c>
      <c r="R592" s="3">
        <v>51.615438599999997</v>
      </c>
      <c r="S592" s="2">
        <v>0</v>
      </c>
      <c r="T592" s="2">
        <v>0</v>
      </c>
      <c r="U592" s="2">
        <v>0</v>
      </c>
    </row>
    <row r="593" spans="1:21" x14ac:dyDescent="0.3">
      <c r="A593" s="5" t="s">
        <v>64</v>
      </c>
      <c r="B593" s="5">
        <v>2013</v>
      </c>
      <c r="C593" s="5" t="s">
        <v>65</v>
      </c>
      <c r="D593" s="9">
        <v>2611.085771</v>
      </c>
      <c r="E593" s="7">
        <f t="shared" si="9"/>
        <v>2295664724.1424193</v>
      </c>
      <c r="F593" s="7">
        <v>229714043.44584951</v>
      </c>
      <c r="G593" s="7">
        <v>0</v>
      </c>
      <c r="H593" s="7"/>
      <c r="I593" s="7">
        <v>229714043.44584951</v>
      </c>
      <c r="J593" s="6">
        <v>6.5714138966553719</v>
      </c>
      <c r="K593" s="7">
        <v>1113.752527592904</v>
      </c>
      <c r="L593" s="7">
        <v>25051611</v>
      </c>
      <c r="M593" s="6">
        <v>32.621289500000003</v>
      </c>
      <c r="N593" s="6">
        <v>40.767918999999999</v>
      </c>
      <c r="O593" s="6">
        <v>57.429221899999987</v>
      </c>
      <c r="P593" s="6">
        <v>46.003535399999997</v>
      </c>
      <c r="Q593" s="6">
        <v>40.700428799999997</v>
      </c>
      <c r="R593" s="6">
        <v>50.308893599999998</v>
      </c>
      <c r="S593" s="5">
        <v>1</v>
      </c>
      <c r="T593" s="5">
        <v>1</v>
      </c>
      <c r="U593" s="5">
        <v>0</v>
      </c>
    </row>
    <row r="594" spans="1:21" x14ac:dyDescent="0.3">
      <c r="A594" s="2" t="s">
        <v>64</v>
      </c>
      <c r="B594" s="2">
        <v>2014</v>
      </c>
      <c r="C594" s="2" t="s">
        <v>65</v>
      </c>
      <c r="D594" s="8">
        <v>2362.3234619999998</v>
      </c>
      <c r="E594" s="4">
        <f t="shared" si="9"/>
        <v>2076953081.7252476</v>
      </c>
      <c r="F594" s="4">
        <v>132824857.483464</v>
      </c>
      <c r="G594" s="4">
        <v>511366135.56570101</v>
      </c>
      <c r="H594" s="4">
        <v>93377604.933211297</v>
      </c>
      <c r="I594" s="4">
        <v>737568597.98237634</v>
      </c>
      <c r="J594" s="3">
        <v>7.7025684483930954</v>
      </c>
      <c r="K594" s="4">
        <v>1165.8282660750481</v>
      </c>
      <c r="L594" s="4">
        <v>25788475</v>
      </c>
      <c r="M594" s="3">
        <v>30.4199558</v>
      </c>
      <c r="N594" s="3">
        <v>40.225430899999999</v>
      </c>
      <c r="O594" s="3">
        <v>55.309859899999999</v>
      </c>
      <c r="P594" s="3">
        <v>45.714115700000001</v>
      </c>
      <c r="Q594" s="3">
        <v>41.395428000000003</v>
      </c>
      <c r="R594" s="3">
        <v>50.137313200000001</v>
      </c>
      <c r="S594" s="2">
        <v>1</v>
      </c>
      <c r="T594" s="2">
        <v>1</v>
      </c>
      <c r="U594" s="2">
        <v>0</v>
      </c>
    </row>
    <row r="595" spans="1:21" x14ac:dyDescent="0.3">
      <c r="A595" s="5" t="s">
        <v>64</v>
      </c>
      <c r="B595" s="5">
        <v>2015</v>
      </c>
      <c r="C595" s="5" t="s">
        <v>65</v>
      </c>
      <c r="D595" s="9">
        <v>2322.8054010000001</v>
      </c>
      <c r="E595" s="7">
        <f t="shared" si="9"/>
        <v>2042208831.0339105</v>
      </c>
      <c r="F595" s="7">
        <v>7161754.146357825</v>
      </c>
      <c r="G595" s="7"/>
      <c r="H595" s="7"/>
      <c r="I595" s="7">
        <v>7161754.146357825</v>
      </c>
      <c r="J595" s="6">
        <v>7.3930936986376992</v>
      </c>
      <c r="K595" s="7">
        <v>1317.887859568217</v>
      </c>
      <c r="L595" s="7">
        <v>26547572</v>
      </c>
      <c r="M595" s="6">
        <v>30.269565199999999</v>
      </c>
      <c r="N595" s="6">
        <v>40.0610803</v>
      </c>
      <c r="O595" s="6">
        <v>54.205595899999999</v>
      </c>
      <c r="P595" s="6">
        <v>44.762777300000003</v>
      </c>
      <c r="Q595" s="6">
        <v>42.287851099999997</v>
      </c>
      <c r="R595" s="6">
        <v>49.744928399999999</v>
      </c>
      <c r="S595" s="5">
        <v>0</v>
      </c>
      <c r="T595" s="5">
        <v>0</v>
      </c>
      <c r="U595" s="5">
        <v>0</v>
      </c>
    </row>
    <row r="596" spans="1:21" x14ac:dyDescent="0.3">
      <c r="A596" s="2" t="s">
        <v>64</v>
      </c>
      <c r="B596" s="2">
        <v>2016</v>
      </c>
      <c r="C596" s="2" t="s">
        <v>65</v>
      </c>
      <c r="D596" s="8">
        <v>2157.898377</v>
      </c>
      <c r="E596" s="4">
        <f t="shared" si="9"/>
        <v>1897222694.6286244</v>
      </c>
      <c r="F596" s="4">
        <v>22924879.225883398</v>
      </c>
      <c r="G596" s="4"/>
      <c r="H596" s="4"/>
      <c r="I596" s="4">
        <v>22924879.225883398</v>
      </c>
      <c r="J596" s="3">
        <v>4.6969902422579537</v>
      </c>
      <c r="K596" s="4">
        <v>1379.1074002869061</v>
      </c>
      <c r="L596" s="4">
        <v>27337105</v>
      </c>
      <c r="M596" s="3">
        <v>27.782271300000001</v>
      </c>
      <c r="N596" s="3">
        <v>38.0728145</v>
      </c>
      <c r="O596" s="3">
        <v>44.015317799999998</v>
      </c>
      <c r="P596" s="3">
        <v>43.906767599999988</v>
      </c>
      <c r="Q596" s="3">
        <v>39.548834800000002</v>
      </c>
      <c r="R596" s="3">
        <v>46.714969199999999</v>
      </c>
      <c r="S596" s="2">
        <v>1</v>
      </c>
      <c r="T596" s="2">
        <v>1</v>
      </c>
      <c r="U596" s="2">
        <v>0</v>
      </c>
    </row>
    <row r="597" spans="1:21" x14ac:dyDescent="0.3">
      <c r="A597" s="5" t="s">
        <v>64</v>
      </c>
      <c r="B597" s="5">
        <v>2017</v>
      </c>
      <c r="C597" s="5" t="s">
        <v>65</v>
      </c>
      <c r="D597" s="9">
        <v>2262.4565600000001</v>
      </c>
      <c r="E597" s="7">
        <f t="shared" si="9"/>
        <v>1989150173.6105194</v>
      </c>
      <c r="F597" s="7">
        <v>347937531.56529719</v>
      </c>
      <c r="G597" s="7">
        <v>2064963413.497551</v>
      </c>
      <c r="H597" s="7"/>
      <c r="I597" s="7">
        <v>2412900945.0628481</v>
      </c>
      <c r="J597" s="6">
        <v>2.638207373106582</v>
      </c>
      <c r="K597" s="7">
        <v>1282.749659918014</v>
      </c>
      <c r="L597" s="7">
        <v>28166393</v>
      </c>
      <c r="M597" s="6">
        <v>28.330472799999999</v>
      </c>
      <c r="N597" s="6">
        <v>37.926120999999988</v>
      </c>
      <c r="O597" s="6">
        <v>47.697326799999999</v>
      </c>
      <c r="P597" s="6">
        <v>44.103916699999999</v>
      </c>
      <c r="Q597" s="6">
        <v>39.900473599999998</v>
      </c>
      <c r="R597" s="6">
        <v>46.4897262</v>
      </c>
      <c r="S597" s="5">
        <v>0</v>
      </c>
      <c r="T597" s="5">
        <v>0</v>
      </c>
      <c r="U597" s="5">
        <v>0</v>
      </c>
    </row>
    <row r="598" spans="1:21" x14ac:dyDescent="0.3">
      <c r="A598" s="2" t="s">
        <v>64</v>
      </c>
      <c r="B598" s="2">
        <v>2018</v>
      </c>
      <c r="C598" s="2" t="s">
        <v>65</v>
      </c>
      <c r="D598" s="8">
        <v>2219.7818539999998</v>
      </c>
      <c r="E598" s="4">
        <f t="shared" si="9"/>
        <v>1951630602.9149044</v>
      </c>
      <c r="F598" s="4">
        <v>5231278.7898176396</v>
      </c>
      <c r="G598" s="4">
        <v>17219626.016483068</v>
      </c>
      <c r="H598" s="4">
        <v>0</v>
      </c>
      <c r="I598" s="4">
        <v>22450904.806300711</v>
      </c>
      <c r="J598" s="3">
        <v>3.4849320242278168</v>
      </c>
      <c r="K598" s="4">
        <v>1325.586955689527</v>
      </c>
      <c r="L598" s="4">
        <v>29018644</v>
      </c>
      <c r="M598" s="3">
        <v>30.192086700000001</v>
      </c>
      <c r="N598" s="3">
        <v>37.980101500000004</v>
      </c>
      <c r="O598" s="3">
        <v>52.262613399999999</v>
      </c>
      <c r="P598" s="3">
        <v>43.327614199999999</v>
      </c>
      <c r="Q598" s="3">
        <v>40.083055100000003</v>
      </c>
      <c r="R598" s="3">
        <v>45.437026699999997</v>
      </c>
      <c r="S598" s="2">
        <v>1</v>
      </c>
      <c r="T598" s="2">
        <v>1</v>
      </c>
      <c r="U598" s="2">
        <v>0</v>
      </c>
    </row>
    <row r="599" spans="1:21" x14ac:dyDescent="0.3">
      <c r="A599" s="5" t="s">
        <v>64</v>
      </c>
      <c r="B599" s="5">
        <v>2019</v>
      </c>
      <c r="C599" s="5" t="s">
        <v>65</v>
      </c>
      <c r="D599" s="9">
        <v>2299.5963630000001</v>
      </c>
      <c r="E599" s="7">
        <f t="shared" si="9"/>
        <v>2021803461.58583</v>
      </c>
      <c r="F599" s="7">
        <v>7864952.2858349597</v>
      </c>
      <c r="G599" s="7">
        <v>33706938.367864102</v>
      </c>
      <c r="H599" s="7"/>
      <c r="I599" s="7">
        <v>41571890.653699063</v>
      </c>
      <c r="J599" s="6">
        <v>2.3178139482147491</v>
      </c>
      <c r="K599" s="7">
        <v>1388.7970703444621</v>
      </c>
      <c r="L599" s="7">
        <v>29884380</v>
      </c>
      <c r="M599" s="6">
        <v>30.128005999999999</v>
      </c>
      <c r="N599" s="6">
        <v>38.700955499999999</v>
      </c>
      <c r="O599" s="6">
        <v>51.724823099999988</v>
      </c>
      <c r="P599" s="6">
        <v>43.425174699999999</v>
      </c>
      <c r="Q599" s="6">
        <v>40.346013999999997</v>
      </c>
      <c r="R599" s="6">
        <v>44.385891999999998</v>
      </c>
      <c r="S599" s="5">
        <v>1</v>
      </c>
      <c r="T599" s="5">
        <v>1</v>
      </c>
      <c r="U599" s="5">
        <v>0</v>
      </c>
    </row>
    <row r="600" spans="1:21" x14ac:dyDescent="0.3">
      <c r="A600" s="2" t="s">
        <v>64</v>
      </c>
      <c r="B600" s="2">
        <v>2020</v>
      </c>
      <c r="C600" s="2" t="s">
        <v>65</v>
      </c>
      <c r="D600" s="8">
        <v>3050.2569199999998</v>
      </c>
      <c r="E600" s="4">
        <f t="shared" si="9"/>
        <v>2681783681.1747174</v>
      </c>
      <c r="F600" s="4">
        <v>147692266.00954461</v>
      </c>
      <c r="G600" s="4"/>
      <c r="H600" s="4">
        <v>175901827.87601501</v>
      </c>
      <c r="I600" s="4">
        <v>323594093.88555962</v>
      </c>
      <c r="J600" s="3">
        <v>-1.219522500111921</v>
      </c>
      <c r="K600" s="4">
        <v>1411.6204022991119</v>
      </c>
      <c r="L600" s="4">
        <v>30783688</v>
      </c>
      <c r="M600" s="3">
        <v>32.416252800000002</v>
      </c>
      <c r="N600" s="3">
        <v>35.350813100000003</v>
      </c>
      <c r="O600" s="3">
        <v>42.906807399999998</v>
      </c>
      <c r="P600" s="3">
        <v>42.637989999999988</v>
      </c>
      <c r="Q600" s="3">
        <v>39.054433299999999</v>
      </c>
      <c r="R600" s="3">
        <v>45.808427799999997</v>
      </c>
      <c r="S600" s="2">
        <v>1</v>
      </c>
      <c r="T600" s="2">
        <v>1</v>
      </c>
      <c r="U600" s="2">
        <v>0</v>
      </c>
    </row>
    <row r="601" spans="1:21" x14ac:dyDescent="0.3">
      <c r="A601" s="5" t="s">
        <v>64</v>
      </c>
      <c r="B601" s="5">
        <v>2021</v>
      </c>
      <c r="C601" s="5" t="s">
        <v>65</v>
      </c>
      <c r="D601" s="9">
        <v>2576.1832840000002</v>
      </c>
      <c r="E601" s="7">
        <f t="shared" si="9"/>
        <v>2264978482.7785239</v>
      </c>
      <c r="F601" s="7">
        <v>28849202</v>
      </c>
      <c r="G601" s="7"/>
      <c r="H601" s="7"/>
      <c r="I601" s="7">
        <v>28849202</v>
      </c>
      <c r="J601" s="6">
        <v>2.3774357276150648</v>
      </c>
      <c r="K601" s="7">
        <v>1457.2354093092149</v>
      </c>
      <c r="L601" s="7">
        <v>31707800</v>
      </c>
      <c r="M601" s="6">
        <v>31.477995</v>
      </c>
      <c r="N601" s="6">
        <v>35.4238973</v>
      </c>
      <c r="O601" s="6">
        <v>44.2430053</v>
      </c>
      <c r="P601" s="6">
        <v>41.951135099999988</v>
      </c>
      <c r="Q601" s="6">
        <v>38.914704800000003</v>
      </c>
      <c r="R601" s="6">
        <v>43.085409800000001</v>
      </c>
      <c r="S601" s="5">
        <v>1</v>
      </c>
      <c r="T601" s="5">
        <v>1</v>
      </c>
      <c r="U601" s="5">
        <v>0</v>
      </c>
    </row>
    <row r="602" spans="1:21" x14ac:dyDescent="0.3">
      <c r="A602" s="5" t="s">
        <v>66</v>
      </c>
      <c r="B602" s="5">
        <v>2002</v>
      </c>
      <c r="C602" s="5" t="s">
        <v>67</v>
      </c>
      <c r="D602" s="9">
        <v>150.695142</v>
      </c>
      <c r="E602" s="7">
        <f t="shared" si="9"/>
        <v>132491060.01467797</v>
      </c>
      <c r="F602" s="7">
        <v>26074273.8380774</v>
      </c>
      <c r="G602" s="7"/>
      <c r="H602" s="7"/>
      <c r="I602" s="7">
        <v>26074273.8380774</v>
      </c>
      <c r="J602" s="6">
        <v>4.7886612188211046</v>
      </c>
      <c r="K602" s="7">
        <v>5433.2690272384343</v>
      </c>
      <c r="L602" s="7">
        <v>1889970</v>
      </c>
      <c r="M602" s="6">
        <v>49.894836099999999</v>
      </c>
      <c r="N602" s="6">
        <v>54.057644199999999</v>
      </c>
      <c r="O602" s="6">
        <v>66.803675900000002</v>
      </c>
      <c r="P602" s="6">
        <v>65.361653099999998</v>
      </c>
      <c r="Q602" s="6">
        <v>63.1399021</v>
      </c>
      <c r="R602" s="6">
        <v>59.730047599999999</v>
      </c>
      <c r="S602" s="5">
        <v>0</v>
      </c>
      <c r="T602" s="5">
        <v>0</v>
      </c>
      <c r="U602" s="5">
        <v>0</v>
      </c>
    </row>
    <row r="603" spans="1:21" x14ac:dyDescent="0.3">
      <c r="A603" s="2" t="s">
        <v>66</v>
      </c>
      <c r="B603" s="2">
        <v>2003</v>
      </c>
      <c r="C603" s="2" t="s">
        <v>67</v>
      </c>
      <c r="D603" s="8">
        <v>180.32921200000001</v>
      </c>
      <c r="E603" s="4">
        <f t="shared" si="9"/>
        <v>158545312.95701349</v>
      </c>
      <c r="F603" s="4">
        <v>29431373.393581301</v>
      </c>
      <c r="G603" s="4">
        <v>73081.912211356102</v>
      </c>
      <c r="H603" s="4"/>
      <c r="I603" s="4">
        <v>29504455.30579266</v>
      </c>
      <c r="J603" s="3">
        <v>4.239794295821369</v>
      </c>
      <c r="K603" s="4">
        <v>5692.6337375287167</v>
      </c>
      <c r="L603" s="4">
        <v>1917464</v>
      </c>
      <c r="M603" s="3">
        <v>49.168266199999998</v>
      </c>
      <c r="N603" s="3">
        <v>54.614589000000002</v>
      </c>
      <c r="O603" s="3">
        <v>69.238092600000002</v>
      </c>
      <c r="P603" s="3">
        <v>62.866007199999999</v>
      </c>
      <c r="Q603" s="3">
        <v>62.630179599999998</v>
      </c>
      <c r="R603" s="3">
        <v>59.950347899999997</v>
      </c>
      <c r="S603" s="2">
        <v>0</v>
      </c>
      <c r="T603" s="2">
        <v>0</v>
      </c>
      <c r="U603" s="2">
        <v>0</v>
      </c>
    </row>
    <row r="604" spans="1:21" x14ac:dyDescent="0.3">
      <c r="A604" s="5" t="s">
        <v>66</v>
      </c>
      <c r="B604" s="5">
        <v>2004</v>
      </c>
      <c r="C604" s="5" t="s">
        <v>67</v>
      </c>
      <c r="D604" s="9">
        <v>198.99874399999999</v>
      </c>
      <c r="E604" s="7">
        <f t="shared" si="9"/>
        <v>174959552.00831583</v>
      </c>
      <c r="F604" s="7">
        <v>11131897.149263389</v>
      </c>
      <c r="G604" s="7"/>
      <c r="H604" s="7"/>
      <c r="I604" s="7">
        <v>11131897.149263389</v>
      </c>
      <c r="J604" s="6">
        <v>12.269548103676881</v>
      </c>
      <c r="K604" s="7">
        <v>6479.7636896582862</v>
      </c>
      <c r="L604" s="7">
        <v>1942082</v>
      </c>
      <c r="M604" s="6">
        <v>47.635214900000001</v>
      </c>
      <c r="N604" s="6">
        <v>53.379934599999999</v>
      </c>
      <c r="O604" s="6">
        <v>73.795359399999995</v>
      </c>
      <c r="P604" s="6">
        <v>57.496511899999987</v>
      </c>
      <c r="Q604" s="6">
        <v>57.279697199999987</v>
      </c>
      <c r="R604" s="6">
        <v>61.6638503</v>
      </c>
      <c r="S604" s="5">
        <v>0</v>
      </c>
      <c r="T604" s="5">
        <v>0</v>
      </c>
      <c r="U604" s="5">
        <v>0</v>
      </c>
    </row>
    <row r="605" spans="1:21" x14ac:dyDescent="0.3">
      <c r="A605" s="2" t="s">
        <v>66</v>
      </c>
      <c r="B605" s="2">
        <v>2005</v>
      </c>
      <c r="C605" s="2" t="s">
        <v>67</v>
      </c>
      <c r="D605" s="8">
        <v>143.56149199999999</v>
      </c>
      <c r="E605" s="4">
        <f t="shared" si="9"/>
        <v>126219160.08658533</v>
      </c>
      <c r="F605" s="4">
        <v>80076267.046547413</v>
      </c>
      <c r="G605" s="4">
        <v>170506.71799471401</v>
      </c>
      <c r="H605" s="4"/>
      <c r="I605" s="4">
        <v>80246773.764542133</v>
      </c>
      <c r="J605" s="3">
        <v>2.5292626581902198</v>
      </c>
      <c r="K605" s="4">
        <v>6766.5998120604982</v>
      </c>
      <c r="L605" s="4">
        <v>1966582</v>
      </c>
      <c r="M605" s="3">
        <v>47.412181500000003</v>
      </c>
      <c r="N605" s="3">
        <v>52.202128599999988</v>
      </c>
      <c r="O605" s="3">
        <v>75.822815599999998</v>
      </c>
      <c r="P605" s="3">
        <v>56.390339099999998</v>
      </c>
      <c r="Q605" s="3">
        <v>58.032047599999999</v>
      </c>
      <c r="R605" s="3">
        <v>64.40863259999999</v>
      </c>
      <c r="S605" s="2">
        <v>0</v>
      </c>
      <c r="T605" s="2">
        <v>0</v>
      </c>
      <c r="U605" s="2">
        <v>0</v>
      </c>
    </row>
    <row r="606" spans="1:21" x14ac:dyDescent="0.3">
      <c r="A606" s="5" t="s">
        <v>66</v>
      </c>
      <c r="B606" s="5">
        <v>2006</v>
      </c>
      <c r="C606" s="5" t="s">
        <v>67</v>
      </c>
      <c r="D606" s="9">
        <v>206.56948</v>
      </c>
      <c r="E606" s="7">
        <f t="shared" si="9"/>
        <v>181615737.63194582</v>
      </c>
      <c r="F606" s="7">
        <v>3568.2322379440002</v>
      </c>
      <c r="G606" s="7"/>
      <c r="H606" s="7"/>
      <c r="I606" s="7">
        <v>3568.2322379440002</v>
      </c>
      <c r="J606" s="6">
        <v>7.0731753184582544</v>
      </c>
      <c r="K606" s="7">
        <v>7373.7582221188823</v>
      </c>
      <c r="L606" s="7">
        <v>1991888</v>
      </c>
      <c r="M606" s="6">
        <v>54.328242299999999</v>
      </c>
      <c r="N606" s="6">
        <v>56.716833700000002</v>
      </c>
      <c r="O606" s="6">
        <v>77.916953199999995</v>
      </c>
      <c r="P606" s="6">
        <v>57.717415899999999</v>
      </c>
      <c r="Q606" s="6">
        <v>61.619863100000003</v>
      </c>
      <c r="R606" s="6">
        <v>65.821263799999997</v>
      </c>
      <c r="S606" s="5">
        <v>0</v>
      </c>
      <c r="T606" s="5">
        <v>0</v>
      </c>
      <c r="U606" s="5">
        <v>0</v>
      </c>
    </row>
    <row r="607" spans="1:21" x14ac:dyDescent="0.3">
      <c r="A607" s="2" t="s">
        <v>66</v>
      </c>
      <c r="B607" s="2">
        <v>2007</v>
      </c>
      <c r="C607" s="2" t="s">
        <v>67</v>
      </c>
      <c r="D607" s="8">
        <v>255.735535</v>
      </c>
      <c r="E607" s="4">
        <f t="shared" si="9"/>
        <v>224842497.68032187</v>
      </c>
      <c r="F607" s="4">
        <v>20944372.263891041</v>
      </c>
      <c r="G607" s="4">
        <v>9698625.2090992797</v>
      </c>
      <c r="H607" s="4"/>
      <c r="I607" s="4">
        <v>30642997.472990319</v>
      </c>
      <c r="J607" s="3">
        <v>5.374044151676344</v>
      </c>
      <c r="K607" s="4">
        <v>7874.9314450828779</v>
      </c>
      <c r="L607" s="4">
        <v>2018600</v>
      </c>
      <c r="M607" s="3">
        <v>53.560796600000003</v>
      </c>
      <c r="N607" s="3">
        <v>57.096746499999988</v>
      </c>
      <c r="O607" s="3">
        <v>81.738780199999994</v>
      </c>
      <c r="P607" s="3">
        <v>56.726981700000003</v>
      </c>
      <c r="Q607" s="3">
        <v>61.751056899999988</v>
      </c>
      <c r="R607" s="3">
        <v>65.314899299999993</v>
      </c>
      <c r="S607" s="2">
        <v>0</v>
      </c>
      <c r="T607" s="2">
        <v>0</v>
      </c>
      <c r="U607" s="2">
        <v>0</v>
      </c>
    </row>
    <row r="608" spans="1:21" x14ac:dyDescent="0.3">
      <c r="A608" s="5" t="s">
        <v>66</v>
      </c>
      <c r="B608" s="5">
        <v>2008</v>
      </c>
      <c r="C608" s="5" t="s">
        <v>67</v>
      </c>
      <c r="D608" s="9">
        <v>240.19152700000001</v>
      </c>
      <c r="E608" s="7">
        <f t="shared" si="9"/>
        <v>211176217.07257256</v>
      </c>
      <c r="F608" s="7">
        <v>11716679.573820241</v>
      </c>
      <c r="G608" s="7">
        <v>65808425.7430223</v>
      </c>
      <c r="H608" s="7"/>
      <c r="I608" s="7">
        <v>77525105.316842541</v>
      </c>
      <c r="J608" s="6">
        <v>2.649812037802675</v>
      </c>
      <c r="K608" s="7">
        <v>8124.8151788674859</v>
      </c>
      <c r="L608" s="7">
        <v>2047056</v>
      </c>
      <c r="M608" s="6">
        <v>59.621215300000003</v>
      </c>
      <c r="N608" s="6">
        <v>58.590091899999997</v>
      </c>
      <c r="O608" s="6">
        <v>84.083169999999996</v>
      </c>
      <c r="P608" s="6">
        <v>59.454278199999997</v>
      </c>
      <c r="Q608" s="6">
        <v>63.323616100000002</v>
      </c>
      <c r="R608" s="6">
        <v>64.574029400000001</v>
      </c>
      <c r="S608" s="5">
        <v>0</v>
      </c>
      <c r="T608" s="5">
        <v>0</v>
      </c>
      <c r="U608" s="5">
        <v>0</v>
      </c>
    </row>
    <row r="609" spans="1:21" x14ac:dyDescent="0.3">
      <c r="A609" s="2" t="s">
        <v>66</v>
      </c>
      <c r="B609" s="2">
        <v>2009</v>
      </c>
      <c r="C609" s="2" t="s">
        <v>67</v>
      </c>
      <c r="D609" s="8">
        <v>331.06327499999998</v>
      </c>
      <c r="E609" s="4">
        <f t="shared" si="9"/>
        <v>291070592.28678274</v>
      </c>
      <c r="F609" s="4">
        <v>15733096.990459921</v>
      </c>
      <c r="G609" s="4"/>
      <c r="H609" s="4"/>
      <c r="I609" s="4">
        <v>15733096.990459921</v>
      </c>
      <c r="J609" s="3">
        <v>0.29597091400108871</v>
      </c>
      <c r="K609" s="4">
        <v>8079.3839228621819</v>
      </c>
      <c r="L609" s="4">
        <v>2077394</v>
      </c>
      <c r="M609" s="3">
        <v>57.50891</v>
      </c>
      <c r="N609" s="3">
        <v>60.543280699999997</v>
      </c>
      <c r="O609" s="3">
        <v>81.767661699999991</v>
      </c>
      <c r="P609" s="3">
        <v>59.9746989</v>
      </c>
      <c r="Q609" s="3">
        <v>63.335283199999999</v>
      </c>
      <c r="R609" s="3">
        <v>63.728764200000001</v>
      </c>
      <c r="S609" s="2">
        <v>0</v>
      </c>
      <c r="T609" s="2">
        <v>0</v>
      </c>
      <c r="U609" s="2">
        <v>0</v>
      </c>
    </row>
    <row r="610" spans="1:21" x14ac:dyDescent="0.3">
      <c r="A610" s="5" t="s">
        <v>66</v>
      </c>
      <c r="B610" s="5">
        <v>2010</v>
      </c>
      <c r="C610" s="5" t="s">
        <v>67</v>
      </c>
      <c r="D610" s="9">
        <v>314.76432799999998</v>
      </c>
      <c r="E610" s="7">
        <f t="shared" si="9"/>
        <v>276740569.85544884</v>
      </c>
      <c r="F610" s="7">
        <v>104639.19718086081</v>
      </c>
      <c r="G610" s="7"/>
      <c r="H610" s="7"/>
      <c r="I610" s="7">
        <v>104639.19718086081</v>
      </c>
      <c r="J610" s="6">
        <v>6.0392494795585776</v>
      </c>
      <c r="K610" s="7">
        <v>8538.1999539594781</v>
      </c>
      <c r="L610" s="7">
        <v>2109811</v>
      </c>
      <c r="M610" s="6">
        <v>54.701423299999988</v>
      </c>
      <c r="N610" s="6">
        <v>56.030945899999999</v>
      </c>
      <c r="O610" s="6">
        <v>79.34249299999999</v>
      </c>
      <c r="P610" s="6">
        <v>57.399393000000003</v>
      </c>
      <c r="Q610" s="6">
        <v>62.076635199999998</v>
      </c>
      <c r="R610" s="6">
        <v>61.041860900000003</v>
      </c>
      <c r="S610" s="5">
        <v>0</v>
      </c>
      <c r="T610" s="5">
        <v>0</v>
      </c>
      <c r="U610" s="5">
        <v>0</v>
      </c>
    </row>
    <row r="611" spans="1:21" x14ac:dyDescent="0.3">
      <c r="A611" s="2" t="s">
        <v>66</v>
      </c>
      <c r="B611" s="2">
        <v>2011</v>
      </c>
      <c r="C611" s="2" t="s">
        <v>67</v>
      </c>
      <c r="D611" s="8">
        <v>342.76302099999998</v>
      </c>
      <c r="E611" s="4">
        <f t="shared" si="9"/>
        <v>301357000.52045023</v>
      </c>
      <c r="F611" s="4">
        <v>19417468.458449069</v>
      </c>
      <c r="G611" s="4"/>
      <c r="H611" s="4"/>
      <c r="I611" s="4">
        <v>19417468.458449069</v>
      </c>
      <c r="J611" s="3">
        <v>5.0913381386433798</v>
      </c>
      <c r="K611" s="4">
        <v>9002.2300453705739</v>
      </c>
      <c r="L611" s="4">
        <v>2146325</v>
      </c>
      <c r="M611" s="3">
        <v>54.089527799999999</v>
      </c>
      <c r="N611" s="3">
        <v>55.022890099999998</v>
      </c>
      <c r="O611" s="3">
        <v>78.111237599999995</v>
      </c>
      <c r="P611" s="3">
        <v>54.975297299999987</v>
      </c>
      <c r="Q611" s="3">
        <v>59.894317999999998</v>
      </c>
      <c r="R611" s="3">
        <v>60.950083100000001</v>
      </c>
      <c r="S611" s="2">
        <v>0</v>
      </c>
      <c r="T611" s="2">
        <v>0</v>
      </c>
      <c r="U611" s="2">
        <v>0</v>
      </c>
    </row>
    <row r="612" spans="1:21" x14ac:dyDescent="0.3">
      <c r="A612" s="5" t="s">
        <v>66</v>
      </c>
      <c r="B612" s="5">
        <v>2012</v>
      </c>
      <c r="C612" s="5" t="s">
        <v>67</v>
      </c>
      <c r="D612" s="9">
        <v>354.70240699999999</v>
      </c>
      <c r="E612" s="7">
        <f t="shared" si="9"/>
        <v>311854100.06905019</v>
      </c>
      <c r="F612" s="7">
        <v>6712934.4200147297</v>
      </c>
      <c r="G612" s="7">
        <v>1686652356.1959059</v>
      </c>
      <c r="H612" s="7"/>
      <c r="I612" s="7">
        <v>1693365290.615921</v>
      </c>
      <c r="J612" s="6">
        <v>5.0616820696264</v>
      </c>
      <c r="K612" s="7">
        <v>9363.7663231802926</v>
      </c>
      <c r="L612" s="7">
        <v>2194654</v>
      </c>
      <c r="M612" s="6">
        <v>57.797641300000002</v>
      </c>
      <c r="N612" s="6">
        <v>59.077123800000003</v>
      </c>
      <c r="O612" s="6">
        <v>80.300143899999995</v>
      </c>
      <c r="P612" s="6">
        <v>57.685447199999999</v>
      </c>
      <c r="Q612" s="6">
        <v>61.383028400000001</v>
      </c>
      <c r="R612" s="6">
        <v>62.959249799999988</v>
      </c>
      <c r="S612" s="5">
        <v>0</v>
      </c>
      <c r="T612" s="5">
        <v>0</v>
      </c>
      <c r="U612" s="5">
        <v>0</v>
      </c>
    </row>
    <row r="613" spans="1:21" x14ac:dyDescent="0.3">
      <c r="A613" s="2" t="s">
        <v>66</v>
      </c>
      <c r="B613" s="2">
        <v>2013</v>
      </c>
      <c r="C613" s="2" t="s">
        <v>67</v>
      </c>
      <c r="D613" s="8">
        <v>361.183267</v>
      </c>
      <c r="E613" s="4">
        <f t="shared" si="9"/>
        <v>317552067.50058639</v>
      </c>
      <c r="F613" s="4">
        <v>27865352.083661459</v>
      </c>
      <c r="G613" s="4">
        <v>90242924.175186798</v>
      </c>
      <c r="H613" s="4"/>
      <c r="I613" s="4">
        <v>118108276.25884821</v>
      </c>
      <c r="J613" s="3">
        <v>5.6147196225448539</v>
      </c>
      <c r="K613" s="4">
        <v>9699.2083777864973</v>
      </c>
      <c r="L613" s="4">
        <v>2252508</v>
      </c>
      <c r="M613" s="3">
        <v>57.384503499999987</v>
      </c>
      <c r="N613" s="3">
        <v>57.862698899999998</v>
      </c>
      <c r="O613" s="3">
        <v>80.9061734</v>
      </c>
      <c r="P613" s="3">
        <v>58.360536499999988</v>
      </c>
      <c r="Q613" s="3">
        <v>61.315021999999999</v>
      </c>
      <c r="R613" s="3">
        <v>62.699063000000002</v>
      </c>
      <c r="S613" s="2">
        <v>0</v>
      </c>
      <c r="T613" s="2">
        <v>0</v>
      </c>
      <c r="U613" s="2">
        <v>0</v>
      </c>
    </row>
    <row r="614" spans="1:21" x14ac:dyDescent="0.3">
      <c r="A614" s="5" t="s">
        <v>66</v>
      </c>
      <c r="B614" s="5">
        <v>2014</v>
      </c>
      <c r="C614" s="5" t="s">
        <v>67</v>
      </c>
      <c r="D614" s="9">
        <v>324.75064200000003</v>
      </c>
      <c r="E614" s="7">
        <f t="shared" si="9"/>
        <v>285520529.91215336</v>
      </c>
      <c r="F614" s="7">
        <v>1884157.309479034</v>
      </c>
      <c r="G614" s="7">
        <v>154993332.39718801</v>
      </c>
      <c r="H614" s="7"/>
      <c r="I614" s="7">
        <v>156877489.70666701</v>
      </c>
      <c r="J614" s="6">
        <v>6.092519159779556</v>
      </c>
      <c r="K614" s="7">
        <v>10365.309059678069</v>
      </c>
      <c r="L614" s="7">
        <v>2312139</v>
      </c>
      <c r="M614" s="6">
        <v>56.683045200000002</v>
      </c>
      <c r="N614" s="6">
        <v>57.493884799999996</v>
      </c>
      <c r="O614" s="6">
        <v>76.773756800000001</v>
      </c>
      <c r="P614" s="6">
        <v>57.670721399999998</v>
      </c>
      <c r="Q614" s="6">
        <v>60.498165899999996</v>
      </c>
      <c r="R614" s="6">
        <v>64.099237599999995</v>
      </c>
      <c r="S614" s="5">
        <v>0</v>
      </c>
      <c r="T614" s="5">
        <v>0</v>
      </c>
      <c r="U614" s="5">
        <v>0</v>
      </c>
    </row>
    <row r="615" spans="1:21" x14ac:dyDescent="0.3">
      <c r="A615" s="2" t="s">
        <v>66</v>
      </c>
      <c r="B615" s="2">
        <v>2015</v>
      </c>
      <c r="C615" s="2" t="s">
        <v>67</v>
      </c>
      <c r="D615" s="8">
        <v>225.21423799999999</v>
      </c>
      <c r="E615" s="4">
        <f t="shared" si="9"/>
        <v>198008195.4003399</v>
      </c>
      <c r="F615" s="4"/>
      <c r="G615" s="4"/>
      <c r="H615" s="4"/>
      <c r="I615" s="4"/>
      <c r="J615" s="3">
        <v>4.2641745376367481</v>
      </c>
      <c r="K615" s="4">
        <v>10465.892055851629</v>
      </c>
      <c r="L615" s="4">
        <v>2374300</v>
      </c>
      <c r="M615" s="3">
        <v>57.039025000000002</v>
      </c>
      <c r="N615" s="3">
        <v>57.033051800000003</v>
      </c>
      <c r="O615" s="3">
        <v>78.150540599999999</v>
      </c>
      <c r="P615" s="3">
        <v>58.708367299999999</v>
      </c>
      <c r="Q615" s="3">
        <v>61.665679699999998</v>
      </c>
      <c r="R615" s="3">
        <v>64.600186899999997</v>
      </c>
      <c r="S615" s="2">
        <v>0</v>
      </c>
      <c r="T615" s="2">
        <v>0</v>
      </c>
      <c r="U615" s="2">
        <v>0</v>
      </c>
    </row>
    <row r="616" spans="1:21" x14ac:dyDescent="0.3">
      <c r="A616" s="5" t="s">
        <v>66</v>
      </c>
      <c r="B616" s="5">
        <v>2016</v>
      </c>
      <c r="C616" s="5" t="s">
        <v>67</v>
      </c>
      <c r="D616" s="9">
        <v>254.43586999999999</v>
      </c>
      <c r="E616" s="7">
        <f t="shared" si="9"/>
        <v>223699833.15093729</v>
      </c>
      <c r="F616" s="7">
        <v>21268817.472343989</v>
      </c>
      <c r="G616" s="7"/>
      <c r="H616" s="7"/>
      <c r="I616" s="7">
        <v>21268817.472343989</v>
      </c>
      <c r="J616" s="6">
        <v>3.3794450206329429E-2</v>
      </c>
      <c r="K616" s="7">
        <v>10200.139260973319</v>
      </c>
      <c r="L616" s="7">
        <v>2439213</v>
      </c>
      <c r="M616" s="6">
        <v>56.109151199999999</v>
      </c>
      <c r="N616" s="6">
        <v>55.908957999999998</v>
      </c>
      <c r="O616" s="6">
        <v>77.266149299999995</v>
      </c>
      <c r="P616" s="6">
        <v>57.190085799999999</v>
      </c>
      <c r="Q616" s="6">
        <v>62.326168000000003</v>
      </c>
      <c r="R616" s="6">
        <v>64.19663899999999</v>
      </c>
      <c r="S616" s="5">
        <v>0</v>
      </c>
      <c r="T616" s="5">
        <v>0</v>
      </c>
      <c r="U616" s="5">
        <v>0</v>
      </c>
    </row>
    <row r="617" spans="1:21" x14ac:dyDescent="0.3">
      <c r="A617" s="2" t="s">
        <v>66</v>
      </c>
      <c r="B617" s="2">
        <v>2017</v>
      </c>
      <c r="C617" s="2" t="s">
        <v>67</v>
      </c>
      <c r="D617" s="8">
        <v>271.80412100000001</v>
      </c>
      <c r="E617" s="4">
        <f t="shared" si="9"/>
        <v>238969986.8868221</v>
      </c>
      <c r="F617" s="4">
        <v>38894495.053305</v>
      </c>
      <c r="G617" s="4"/>
      <c r="H617" s="4"/>
      <c r="I617" s="4">
        <v>38894495.053305</v>
      </c>
      <c r="J617" s="3">
        <v>-1.027248088567092</v>
      </c>
      <c r="K617" s="4">
        <v>9887.9393548254957</v>
      </c>
      <c r="L617" s="4">
        <v>2506853</v>
      </c>
      <c r="M617" s="3">
        <v>55.294672299999988</v>
      </c>
      <c r="N617" s="3">
        <v>56.5592477</v>
      </c>
      <c r="O617" s="3">
        <v>76.646051299999996</v>
      </c>
      <c r="P617" s="3">
        <v>56.3726184</v>
      </c>
      <c r="Q617" s="3">
        <v>60.759247100000003</v>
      </c>
      <c r="R617" s="3">
        <v>64.035180299999993</v>
      </c>
      <c r="S617" s="2">
        <v>0</v>
      </c>
      <c r="T617" s="2">
        <v>0</v>
      </c>
      <c r="U617" s="2">
        <v>0</v>
      </c>
    </row>
    <row r="618" spans="1:21" x14ac:dyDescent="0.3">
      <c r="A618" s="5" t="s">
        <v>66</v>
      </c>
      <c r="B618" s="5">
        <v>2018</v>
      </c>
      <c r="C618" s="5" t="s">
        <v>67</v>
      </c>
      <c r="D618" s="9">
        <v>230.32611199999999</v>
      </c>
      <c r="E618" s="7">
        <f t="shared" si="9"/>
        <v>202502551.32935497</v>
      </c>
      <c r="F618" s="7">
        <v>130617249.4277432</v>
      </c>
      <c r="G618" s="7">
        <v>2665345.6659776052</v>
      </c>
      <c r="H618" s="7"/>
      <c r="I618" s="7">
        <v>133282595.09372079</v>
      </c>
      <c r="J618" s="6">
        <v>1.0599394986075199</v>
      </c>
      <c r="K618" s="7">
        <v>9853.7353364607407</v>
      </c>
      <c r="L618" s="7">
        <v>2577327</v>
      </c>
      <c r="M618" s="6">
        <v>56.813449299999988</v>
      </c>
      <c r="N618" s="6">
        <v>57.438305999999997</v>
      </c>
      <c r="O618" s="6">
        <v>77.753395099999992</v>
      </c>
      <c r="P618" s="6">
        <v>55.860315300000003</v>
      </c>
      <c r="Q618" s="6">
        <v>60.118382399999987</v>
      </c>
      <c r="R618" s="6">
        <v>64.5961578</v>
      </c>
      <c r="S618" s="5">
        <v>0</v>
      </c>
      <c r="T618" s="5">
        <v>0</v>
      </c>
      <c r="U618" s="5">
        <v>0</v>
      </c>
    </row>
    <row r="619" spans="1:21" x14ac:dyDescent="0.3">
      <c r="A619" s="2" t="s">
        <v>66</v>
      </c>
      <c r="B619" s="2">
        <v>2019</v>
      </c>
      <c r="C619" s="2" t="s">
        <v>67</v>
      </c>
      <c r="D619" s="8">
        <v>219.39582100000001</v>
      </c>
      <c r="E619" s="4">
        <f t="shared" si="9"/>
        <v>192892647.37598872</v>
      </c>
      <c r="F619" s="4">
        <v>1330791.2829586591</v>
      </c>
      <c r="G619" s="4"/>
      <c r="H619" s="4"/>
      <c r="I619" s="4">
        <v>1330791.2829586591</v>
      </c>
      <c r="J619" s="3">
        <v>-0.83915216341935661</v>
      </c>
      <c r="K619" s="4">
        <v>9609.4855567287359</v>
      </c>
      <c r="L619" s="4">
        <v>2650494</v>
      </c>
      <c r="M619" s="3">
        <v>56.596725199999987</v>
      </c>
      <c r="N619" s="3">
        <v>56.916733699999988</v>
      </c>
      <c r="O619" s="3">
        <v>75.902757499999993</v>
      </c>
      <c r="P619" s="3">
        <v>56.770195399999999</v>
      </c>
      <c r="Q619" s="3">
        <v>60.164410799999999</v>
      </c>
      <c r="R619" s="3">
        <v>63.470362700000003</v>
      </c>
      <c r="S619" s="2">
        <v>0</v>
      </c>
      <c r="T619" s="2">
        <v>0</v>
      </c>
      <c r="U619" s="2">
        <v>0</v>
      </c>
    </row>
    <row r="620" spans="1:21" x14ac:dyDescent="0.3">
      <c r="A620" s="5" t="s">
        <v>66</v>
      </c>
      <c r="B620" s="5">
        <v>2020</v>
      </c>
      <c r="C620" s="5" t="s">
        <v>67</v>
      </c>
      <c r="D620" s="9">
        <v>250.518711</v>
      </c>
      <c r="E620" s="7">
        <f t="shared" si="9"/>
        <v>220255869.78710145</v>
      </c>
      <c r="F620" s="7">
        <v>1968114.887824205</v>
      </c>
      <c r="G620" s="7"/>
      <c r="H620" s="7"/>
      <c r="I620" s="7">
        <v>1968114.887824205</v>
      </c>
      <c r="J620" s="6">
        <v>-8.1014020144331909</v>
      </c>
      <c r="K620" s="7">
        <v>9354.1313671307707</v>
      </c>
      <c r="L620" s="7">
        <v>2728762</v>
      </c>
      <c r="M620" s="6">
        <v>55.784495199999988</v>
      </c>
      <c r="N620" s="6">
        <v>54.254870699999998</v>
      </c>
      <c r="O620" s="6">
        <v>74.650947700000003</v>
      </c>
      <c r="P620" s="6">
        <v>56.074265699999998</v>
      </c>
      <c r="Q620" s="6">
        <v>60.728405499999987</v>
      </c>
      <c r="R620" s="6">
        <v>63.935932399999999</v>
      </c>
      <c r="S620" s="5">
        <v>0</v>
      </c>
      <c r="T620" s="5">
        <v>0</v>
      </c>
      <c r="U620" s="5">
        <v>0</v>
      </c>
    </row>
    <row r="621" spans="1:21" x14ac:dyDescent="0.3">
      <c r="A621" s="2" t="s">
        <v>66</v>
      </c>
      <c r="B621" s="2">
        <v>2021</v>
      </c>
      <c r="C621" s="2" t="s">
        <v>67</v>
      </c>
      <c r="D621" s="8">
        <v>255.43507500000001</v>
      </c>
      <c r="E621" s="4">
        <f t="shared" si="9"/>
        <v>224578333.46531349</v>
      </c>
      <c r="F621" s="4">
        <v>10001488.497970231</v>
      </c>
      <c r="G621" s="4"/>
      <c r="H621" s="4"/>
      <c r="I621" s="4">
        <v>10001488.497970231</v>
      </c>
      <c r="J621" s="3">
        <v>3.603829192487026</v>
      </c>
      <c r="K621" s="4">
        <v>9709.0993064677059</v>
      </c>
      <c r="L621" s="4">
        <v>2810548</v>
      </c>
      <c r="M621" s="3">
        <v>54.455229600000003</v>
      </c>
      <c r="N621" s="3">
        <v>54.444136899999997</v>
      </c>
      <c r="O621" s="3">
        <v>74.667655299999993</v>
      </c>
      <c r="P621" s="3">
        <v>57.216592800000001</v>
      </c>
      <c r="Q621" s="3">
        <v>61.885334800000003</v>
      </c>
      <c r="R621" s="3">
        <v>64.109940399999999</v>
      </c>
      <c r="S621" s="2">
        <v>0</v>
      </c>
      <c r="T621" s="2">
        <v>0</v>
      </c>
      <c r="U621" s="2">
        <v>0</v>
      </c>
    </row>
    <row r="622" spans="1:21" x14ac:dyDescent="0.3">
      <c r="A622" s="2" t="s">
        <v>68</v>
      </c>
      <c r="B622" s="2">
        <v>2002</v>
      </c>
      <c r="C622" s="2" t="s">
        <v>69</v>
      </c>
      <c r="D622" s="8">
        <v>452.097128</v>
      </c>
      <c r="E622" s="4">
        <f t="shared" si="9"/>
        <v>397483468.43398273</v>
      </c>
      <c r="F622" s="4">
        <v>26881837.008235</v>
      </c>
      <c r="G622" s="4"/>
      <c r="H622" s="4"/>
      <c r="I622" s="4">
        <v>26881837.008235</v>
      </c>
      <c r="J622" s="3">
        <v>4.9184705759462162</v>
      </c>
      <c r="K622" s="4">
        <v>832.46936440920501</v>
      </c>
      <c r="L622" s="4">
        <v>12349144</v>
      </c>
      <c r="M622" s="3">
        <v>27.575115400000001</v>
      </c>
      <c r="N622" s="3">
        <v>31.013717499999998</v>
      </c>
      <c r="O622" s="3">
        <v>56.634332999999998</v>
      </c>
      <c r="P622" s="3">
        <v>40.747447700000002</v>
      </c>
      <c r="Q622" s="3">
        <v>43.152057399999997</v>
      </c>
      <c r="R622" s="3">
        <v>52.321361199999998</v>
      </c>
      <c r="S622" s="2">
        <v>0</v>
      </c>
      <c r="T622" s="2">
        <v>0</v>
      </c>
      <c r="U622" s="2">
        <v>0</v>
      </c>
    </row>
    <row r="623" spans="1:21" x14ac:dyDescent="0.3">
      <c r="A623" s="5" t="s">
        <v>68</v>
      </c>
      <c r="B623" s="5">
        <v>2003</v>
      </c>
      <c r="C623" s="5" t="s">
        <v>69</v>
      </c>
      <c r="D623" s="9">
        <v>640.33985499999994</v>
      </c>
      <c r="E623" s="7">
        <f t="shared" ref="E623:E686" si="10">(D623*0.879199277802054)*1000000</f>
        <v>562986338.06387198</v>
      </c>
      <c r="F623" s="7">
        <v>3387951.3442793489</v>
      </c>
      <c r="G623" s="7"/>
      <c r="H623" s="7"/>
      <c r="I623" s="7">
        <v>3387951.3442793489</v>
      </c>
      <c r="J623" s="6">
        <v>2.1706103837418032</v>
      </c>
      <c r="K623" s="7">
        <v>836.97844059323563</v>
      </c>
      <c r="L623" s="7">
        <v>12796984</v>
      </c>
      <c r="M623" s="6">
        <v>27.545670000000001</v>
      </c>
      <c r="N623" s="6">
        <v>30.8836564</v>
      </c>
      <c r="O623" s="6">
        <v>61.695295199999997</v>
      </c>
      <c r="P623" s="6">
        <v>40.747892399999998</v>
      </c>
      <c r="Q623" s="6">
        <v>43.133189299999998</v>
      </c>
      <c r="R623" s="6">
        <v>51.886244099999999</v>
      </c>
      <c r="S623" s="5">
        <v>0</v>
      </c>
      <c r="T623" s="5">
        <v>0</v>
      </c>
      <c r="U623" s="5">
        <v>0</v>
      </c>
    </row>
    <row r="624" spans="1:21" x14ac:dyDescent="0.3">
      <c r="A624" s="2" t="s">
        <v>68</v>
      </c>
      <c r="B624" s="2">
        <v>2004</v>
      </c>
      <c r="C624" s="2" t="s">
        <v>69</v>
      </c>
      <c r="D624" s="8">
        <v>709.45705999999996</v>
      </c>
      <c r="E624" s="4">
        <f t="shared" si="10"/>
        <v>623754134.7835685</v>
      </c>
      <c r="F624" s="4">
        <v>137590.471718143</v>
      </c>
      <c r="G624" s="4"/>
      <c r="H624" s="4"/>
      <c r="I624" s="4">
        <v>137590.471718143</v>
      </c>
      <c r="J624" s="3">
        <v>0.36380157872213198</v>
      </c>
      <c r="K624" s="4">
        <v>832.12519659952272</v>
      </c>
      <c r="L624" s="4">
        <v>13265836</v>
      </c>
      <c r="M624" s="3">
        <v>30.000824399999999</v>
      </c>
      <c r="N624" s="3">
        <v>35.095905899999998</v>
      </c>
      <c r="O624" s="3">
        <v>57.606115499999987</v>
      </c>
      <c r="P624" s="3">
        <v>40.478710599999999</v>
      </c>
      <c r="Q624" s="3">
        <v>45.310226200000002</v>
      </c>
      <c r="R624" s="3">
        <v>55.645230899999987</v>
      </c>
      <c r="S624" s="2">
        <v>0</v>
      </c>
      <c r="T624" s="2">
        <v>0</v>
      </c>
      <c r="U624" s="2">
        <v>0</v>
      </c>
    </row>
    <row r="625" spans="1:21" x14ac:dyDescent="0.3">
      <c r="A625" s="5" t="s">
        <v>68</v>
      </c>
      <c r="B625" s="5">
        <v>2005</v>
      </c>
      <c r="C625" s="5" t="s">
        <v>69</v>
      </c>
      <c r="D625" s="9">
        <v>664.74037399999997</v>
      </c>
      <c r="E625" s="7">
        <f t="shared" si="10"/>
        <v>584439256.74666715</v>
      </c>
      <c r="F625" s="7">
        <v>616788.87898998102</v>
      </c>
      <c r="G625" s="7"/>
      <c r="H625" s="7"/>
      <c r="I625" s="7">
        <v>616788.87898998102</v>
      </c>
      <c r="J625" s="6">
        <v>7.3318688425851661</v>
      </c>
      <c r="K625" s="7">
        <v>888.30426254383917</v>
      </c>
      <c r="L625" s="7">
        <v>13756192</v>
      </c>
      <c r="M625" s="6">
        <v>32.054524499999999</v>
      </c>
      <c r="N625" s="6">
        <v>36.8706569</v>
      </c>
      <c r="O625" s="6">
        <v>58.896312700000003</v>
      </c>
      <c r="P625" s="6">
        <v>43.438572499999999</v>
      </c>
      <c r="Q625" s="6">
        <v>45.806066600000001</v>
      </c>
      <c r="R625" s="6">
        <v>54.171046999999987</v>
      </c>
      <c r="S625" s="5">
        <v>0</v>
      </c>
      <c r="T625" s="5">
        <v>0</v>
      </c>
      <c r="U625" s="5">
        <v>0</v>
      </c>
    </row>
    <row r="626" spans="1:21" x14ac:dyDescent="0.3">
      <c r="A626" s="2" t="s">
        <v>68</v>
      </c>
      <c r="B626" s="2">
        <v>2006</v>
      </c>
      <c r="C626" s="2" t="s">
        <v>69</v>
      </c>
      <c r="D626" s="8">
        <v>2290.9573439999999</v>
      </c>
      <c r="E626" s="4">
        <f t="shared" si="10"/>
        <v>2014208042.3201118</v>
      </c>
      <c r="F626" s="4">
        <v>58748395.060435191</v>
      </c>
      <c r="G626" s="4"/>
      <c r="H626" s="4"/>
      <c r="I626" s="4">
        <v>58748395.060435191</v>
      </c>
      <c r="J626" s="3">
        <v>5.9310499735034199</v>
      </c>
      <c r="K626" s="4">
        <v>935.17532935428608</v>
      </c>
      <c r="L626" s="4">
        <v>14268581</v>
      </c>
      <c r="M626" s="3">
        <v>32.227087599999997</v>
      </c>
      <c r="N626" s="3">
        <v>35.664217600000001</v>
      </c>
      <c r="O626" s="3">
        <v>63.643528600000003</v>
      </c>
      <c r="P626" s="3">
        <v>44.883050099999998</v>
      </c>
      <c r="Q626" s="3">
        <v>46.216015200000001</v>
      </c>
      <c r="R626" s="3">
        <v>52.710928099999997</v>
      </c>
      <c r="S626" s="2">
        <v>0</v>
      </c>
      <c r="T626" s="2">
        <v>0</v>
      </c>
      <c r="U626" s="2">
        <v>0</v>
      </c>
    </row>
    <row r="627" spans="1:21" x14ac:dyDescent="0.3">
      <c r="A627" s="5" t="s">
        <v>68</v>
      </c>
      <c r="B627" s="5">
        <v>2007</v>
      </c>
      <c r="C627" s="5" t="s">
        <v>69</v>
      </c>
      <c r="D627" s="9">
        <v>610.86261000000002</v>
      </c>
      <c r="E627" s="7">
        <f t="shared" si="10"/>
        <v>537069965.54827774</v>
      </c>
      <c r="F627" s="7">
        <v>10053452.96065169</v>
      </c>
      <c r="G627" s="7"/>
      <c r="H627" s="7"/>
      <c r="I627" s="7">
        <v>10053452.96065169</v>
      </c>
      <c r="J627" s="6">
        <v>3.1427240838673072</v>
      </c>
      <c r="K627" s="7">
        <v>954.89228011055457</v>
      </c>
      <c r="L627" s="7">
        <v>14803610</v>
      </c>
      <c r="M627" s="6">
        <v>34.079932900000003</v>
      </c>
      <c r="N627" s="6">
        <v>35.435260399999997</v>
      </c>
      <c r="O627" s="6">
        <v>59.790001500000002</v>
      </c>
      <c r="P627" s="6">
        <v>45.535207799999988</v>
      </c>
      <c r="Q627" s="6">
        <v>46.072694800000001</v>
      </c>
      <c r="R627" s="6">
        <v>52.369827399999998</v>
      </c>
      <c r="S627" s="5">
        <v>1</v>
      </c>
      <c r="T627" s="5">
        <v>1</v>
      </c>
      <c r="U627" s="5">
        <v>0</v>
      </c>
    </row>
    <row r="628" spans="1:21" x14ac:dyDescent="0.3">
      <c r="A628" s="2" t="s">
        <v>68</v>
      </c>
      <c r="B628" s="2">
        <v>2008</v>
      </c>
      <c r="C628" s="2" t="s">
        <v>69</v>
      </c>
      <c r="D628" s="8">
        <v>631.97187399999996</v>
      </c>
      <c r="E628" s="4">
        <f t="shared" si="10"/>
        <v>555629215.21201062</v>
      </c>
      <c r="F628" s="4">
        <v>329042.128715111</v>
      </c>
      <c r="G628" s="4">
        <v>1341635611.31516</v>
      </c>
      <c r="H628" s="4"/>
      <c r="I628" s="4">
        <v>1341964653.4438751</v>
      </c>
      <c r="J628" s="3">
        <v>7.7314142277733708</v>
      </c>
      <c r="K628" s="4">
        <v>1010.431846211695</v>
      </c>
      <c r="L628" s="4">
        <v>15361915</v>
      </c>
      <c r="M628" s="3">
        <v>36.726802999999997</v>
      </c>
      <c r="N628" s="3">
        <v>36.852072300000003</v>
      </c>
      <c r="O628" s="3">
        <v>55.793522000000003</v>
      </c>
      <c r="P628" s="3">
        <v>45.801415200000001</v>
      </c>
      <c r="Q628" s="3">
        <v>45.330798199999997</v>
      </c>
      <c r="R628" s="3">
        <v>48.710415699999999</v>
      </c>
      <c r="S628" s="2">
        <v>1</v>
      </c>
      <c r="T628" s="2">
        <v>1</v>
      </c>
      <c r="U628" s="2">
        <v>0</v>
      </c>
    </row>
    <row r="629" spans="1:21" x14ac:dyDescent="0.3">
      <c r="A629" s="5" t="s">
        <v>68</v>
      </c>
      <c r="B629" s="5">
        <v>2009</v>
      </c>
      <c r="C629" s="5" t="s">
        <v>69</v>
      </c>
      <c r="D629" s="9">
        <v>501.34657900000002</v>
      </c>
      <c r="E629" s="7">
        <f t="shared" si="10"/>
        <v>440783550.18533039</v>
      </c>
      <c r="F629" s="7">
        <v>70136985.301520243</v>
      </c>
      <c r="G629" s="7">
        <v>213285426.85501999</v>
      </c>
      <c r="H629" s="7"/>
      <c r="I629" s="7">
        <v>283422412.15654022</v>
      </c>
      <c r="J629" s="6">
        <v>1.962600906946449</v>
      </c>
      <c r="K629" s="7">
        <v>998.7925015047781</v>
      </c>
      <c r="L629" s="7">
        <v>15943675</v>
      </c>
      <c r="M629" s="6">
        <v>35.056333899999998</v>
      </c>
      <c r="N629" s="6">
        <v>38.065186599999997</v>
      </c>
      <c r="O629" s="6">
        <v>50.159070700000001</v>
      </c>
      <c r="P629" s="6">
        <v>46.605038499999999</v>
      </c>
      <c r="Q629" s="6">
        <v>45.907823099999987</v>
      </c>
      <c r="R629" s="6">
        <v>41.409737300000003</v>
      </c>
      <c r="S629" s="5">
        <v>0</v>
      </c>
      <c r="T629" s="5">
        <v>0</v>
      </c>
      <c r="U629" s="5">
        <v>0</v>
      </c>
    </row>
    <row r="630" spans="1:21" x14ac:dyDescent="0.3">
      <c r="A630" s="2" t="s">
        <v>68</v>
      </c>
      <c r="B630" s="2">
        <v>2010</v>
      </c>
      <c r="C630" s="2" t="s">
        <v>69</v>
      </c>
      <c r="D630" s="8">
        <v>822.87092800000005</v>
      </c>
      <c r="E630" s="4">
        <f t="shared" si="10"/>
        <v>723467525.62190604</v>
      </c>
      <c r="F630" s="4">
        <v>3175617.251676694</v>
      </c>
      <c r="G630" s="4"/>
      <c r="H630" s="4"/>
      <c r="I630" s="4">
        <v>3175617.251676694</v>
      </c>
      <c r="J630" s="3">
        <v>8.5781667426225283</v>
      </c>
      <c r="K630" s="4">
        <v>1057.511002573847</v>
      </c>
      <c r="L630" s="4">
        <v>16548835</v>
      </c>
      <c r="M630" s="3">
        <v>35.669745499999998</v>
      </c>
      <c r="N630" s="3">
        <v>37.049110200000001</v>
      </c>
      <c r="O630" s="3">
        <v>47.416624900000002</v>
      </c>
      <c r="P630" s="3">
        <v>46.866881900000003</v>
      </c>
      <c r="Q630" s="3">
        <v>46.302245999999997</v>
      </c>
      <c r="R630" s="3">
        <v>46.201110100000001</v>
      </c>
      <c r="S630" s="2">
        <v>0</v>
      </c>
      <c r="T630" s="2">
        <v>0</v>
      </c>
      <c r="U630" s="2">
        <v>0</v>
      </c>
    </row>
    <row r="631" spans="1:21" x14ac:dyDescent="0.3">
      <c r="A631" s="5" t="s">
        <v>68</v>
      </c>
      <c r="B631" s="5">
        <v>2011</v>
      </c>
      <c r="C631" s="5" t="s">
        <v>69</v>
      </c>
      <c r="D631" s="9">
        <v>707.80186700000002</v>
      </c>
      <c r="E631" s="7">
        <f t="shared" si="10"/>
        <v>622298890.29334545</v>
      </c>
      <c r="F631" s="7">
        <v>6598823.5395390224</v>
      </c>
      <c r="G631" s="7">
        <v>373327966.20476401</v>
      </c>
      <c r="H631" s="7"/>
      <c r="I631" s="7">
        <v>379926789.74430299</v>
      </c>
      <c r="J631" s="6">
        <v>2.35775693603874</v>
      </c>
      <c r="K631" s="7">
        <v>1064.419173903608</v>
      </c>
      <c r="L631" s="7">
        <v>17176283</v>
      </c>
      <c r="M631" s="6">
        <v>37.5098974</v>
      </c>
      <c r="N631" s="6">
        <v>37.814304300000003</v>
      </c>
      <c r="O631" s="6">
        <v>52.9341936</v>
      </c>
      <c r="P631" s="6">
        <v>46.465592299999997</v>
      </c>
      <c r="Q631" s="6">
        <v>48.046340800000003</v>
      </c>
      <c r="R631" s="6">
        <v>51.268103500000002</v>
      </c>
      <c r="S631" s="5">
        <v>0</v>
      </c>
      <c r="T631" s="5">
        <v>0</v>
      </c>
      <c r="U631" s="5">
        <v>0</v>
      </c>
    </row>
    <row r="632" spans="1:21" x14ac:dyDescent="0.3">
      <c r="A632" s="2" t="s">
        <v>68</v>
      </c>
      <c r="B632" s="2">
        <v>2012</v>
      </c>
      <c r="C632" s="2" t="s">
        <v>69</v>
      </c>
      <c r="D632" s="8">
        <v>988.90439200000003</v>
      </c>
      <c r="E632" s="4">
        <f t="shared" si="10"/>
        <v>869444027.26167941</v>
      </c>
      <c r="F632" s="4">
        <v>5866557.391518604</v>
      </c>
      <c r="G632" s="4"/>
      <c r="H632" s="4"/>
      <c r="I632" s="4">
        <v>5866557.391518604</v>
      </c>
      <c r="J632" s="3">
        <v>10.54894457634461</v>
      </c>
      <c r="K632" s="4">
        <v>1161.789082897667</v>
      </c>
      <c r="L632" s="4">
        <v>17836769</v>
      </c>
      <c r="M632" s="3">
        <v>39.048300500000003</v>
      </c>
      <c r="N632" s="3">
        <v>39.870993599999998</v>
      </c>
      <c r="O632" s="3">
        <v>50.808841100000002</v>
      </c>
      <c r="P632" s="3">
        <v>43.440696899999999</v>
      </c>
      <c r="Q632" s="3">
        <v>45.085209999999996</v>
      </c>
      <c r="R632" s="3">
        <v>52.438029299999997</v>
      </c>
      <c r="S632" s="2">
        <v>0</v>
      </c>
      <c r="T632" s="2">
        <v>0</v>
      </c>
      <c r="U632" s="2">
        <v>0</v>
      </c>
    </row>
    <row r="633" spans="1:21" x14ac:dyDescent="0.3">
      <c r="A633" s="5" t="s">
        <v>68</v>
      </c>
      <c r="B633" s="5">
        <v>2013</v>
      </c>
      <c r="C633" s="5" t="s">
        <v>69</v>
      </c>
      <c r="D633" s="9">
        <v>857.27659300000005</v>
      </c>
      <c r="E633" s="7">
        <f t="shared" si="10"/>
        <v>753716961.44220543</v>
      </c>
      <c r="F633" s="7">
        <v>141890565.85633439</v>
      </c>
      <c r="G633" s="7">
        <v>43381996.258213997</v>
      </c>
      <c r="H633" s="7"/>
      <c r="I633" s="7">
        <v>185272562.11454839</v>
      </c>
      <c r="J633" s="6">
        <v>5.3151306339472626</v>
      </c>
      <c r="K633" s="7">
        <v>1137.7690412957079</v>
      </c>
      <c r="L633" s="7">
        <v>18519898</v>
      </c>
      <c r="M633" s="6">
        <v>40.2703852</v>
      </c>
      <c r="N633" s="6">
        <v>38.945292999999999</v>
      </c>
      <c r="O633" s="6">
        <v>49.939888099999997</v>
      </c>
      <c r="P633" s="6">
        <v>43.441097499999998</v>
      </c>
      <c r="Q633" s="6">
        <v>44.644297599999987</v>
      </c>
      <c r="R633" s="6">
        <v>51.613942100000003</v>
      </c>
      <c r="S633" s="5">
        <v>0</v>
      </c>
      <c r="T633" s="5">
        <v>0</v>
      </c>
      <c r="U633" s="5">
        <v>0</v>
      </c>
    </row>
    <row r="634" spans="1:21" x14ac:dyDescent="0.3">
      <c r="A634" s="2" t="s">
        <v>68</v>
      </c>
      <c r="B634" s="2">
        <v>2014</v>
      </c>
      <c r="C634" s="2" t="s">
        <v>69</v>
      </c>
      <c r="D634" s="8">
        <v>1004.804047</v>
      </c>
      <c r="E634" s="4">
        <f t="shared" si="10"/>
        <v>883422992.45498109</v>
      </c>
      <c r="F634" s="4">
        <v>112065962.98050299</v>
      </c>
      <c r="G634" s="4">
        <v>4981928.5413381904</v>
      </c>
      <c r="H634" s="4"/>
      <c r="I634" s="4">
        <v>117047891.5218412</v>
      </c>
      <c r="J634" s="3">
        <v>6.6421366549560332</v>
      </c>
      <c r="K634" s="4">
        <v>1161.325157237927</v>
      </c>
      <c r="L634" s="4">
        <v>19215909</v>
      </c>
      <c r="M634" s="3">
        <v>38.878081399999999</v>
      </c>
      <c r="N634" s="3">
        <v>39.892002900000001</v>
      </c>
      <c r="O634" s="3">
        <v>49.143118600000001</v>
      </c>
      <c r="P634" s="3">
        <v>43.0827551</v>
      </c>
      <c r="Q634" s="3">
        <v>45.081996799999999</v>
      </c>
      <c r="R634" s="3">
        <v>52.063554799999999</v>
      </c>
      <c r="S634" s="2">
        <v>0</v>
      </c>
      <c r="T634" s="2">
        <v>0</v>
      </c>
      <c r="U634" s="2">
        <v>0</v>
      </c>
    </row>
    <row r="635" spans="1:21" x14ac:dyDescent="0.3">
      <c r="A635" s="5" t="s">
        <v>68</v>
      </c>
      <c r="B635" s="5">
        <v>2015</v>
      </c>
      <c r="C635" s="5" t="s">
        <v>69</v>
      </c>
      <c r="D635" s="9">
        <v>1083.7921200000001</v>
      </c>
      <c r="E635" s="7">
        <f t="shared" si="10"/>
        <v>952869249.19155705</v>
      </c>
      <c r="F635" s="7">
        <v>101240084.7779054</v>
      </c>
      <c r="G635" s="7">
        <v>10252095.515468599</v>
      </c>
      <c r="H635" s="7"/>
      <c r="I635" s="7">
        <v>111492180.293374</v>
      </c>
      <c r="J635" s="6">
        <v>4.3926488320729078</v>
      </c>
      <c r="K635" s="7">
        <v>1172.1917875895499</v>
      </c>
      <c r="L635" s="7">
        <v>19939498</v>
      </c>
      <c r="M635" s="6">
        <v>39.136563700000004</v>
      </c>
      <c r="N635" s="6">
        <v>39.851852899999997</v>
      </c>
      <c r="O635" s="6">
        <v>52.237843400000003</v>
      </c>
      <c r="P635" s="6">
        <v>43.532798900000003</v>
      </c>
      <c r="Q635" s="6">
        <v>46.966672099999997</v>
      </c>
      <c r="R635" s="6">
        <v>51.911192200000002</v>
      </c>
      <c r="S635" s="5">
        <v>1</v>
      </c>
      <c r="T635" s="5">
        <v>1</v>
      </c>
      <c r="U635" s="5">
        <v>0</v>
      </c>
    </row>
    <row r="636" spans="1:21" x14ac:dyDescent="0.3">
      <c r="A636" s="2" t="s">
        <v>68</v>
      </c>
      <c r="B636" s="2">
        <v>2016</v>
      </c>
      <c r="C636" s="2" t="s">
        <v>69</v>
      </c>
      <c r="D636" s="8">
        <v>1204.97777</v>
      </c>
      <c r="E636" s="4">
        <f t="shared" si="10"/>
        <v>1059415585.1515296</v>
      </c>
      <c r="F636" s="4">
        <v>19156111.763132188</v>
      </c>
      <c r="G636" s="4"/>
      <c r="H636" s="4"/>
      <c r="I636" s="4">
        <v>19156111.763132188</v>
      </c>
      <c r="J636" s="3">
        <v>5.7408931505815701</v>
      </c>
      <c r="K636" s="4">
        <v>1188.55709229837</v>
      </c>
      <c r="L636" s="4">
        <v>20685753</v>
      </c>
      <c r="M636" s="3">
        <v>39.345608200000001</v>
      </c>
      <c r="N636" s="3">
        <v>40.3343135</v>
      </c>
      <c r="O636" s="3">
        <v>49.7638964</v>
      </c>
      <c r="P636" s="3">
        <v>44.552127800000001</v>
      </c>
      <c r="Q636" s="3">
        <v>47.147530699999997</v>
      </c>
      <c r="R636" s="3">
        <v>48.911974399999998</v>
      </c>
      <c r="S636" s="2">
        <v>1</v>
      </c>
      <c r="T636" s="2">
        <v>1</v>
      </c>
      <c r="U636" s="2">
        <v>0</v>
      </c>
    </row>
    <row r="637" spans="1:21" x14ac:dyDescent="0.3">
      <c r="A637" s="5" t="s">
        <v>68</v>
      </c>
      <c r="B637" s="5">
        <v>2017</v>
      </c>
      <c r="C637" s="5" t="s">
        <v>69</v>
      </c>
      <c r="D637" s="9">
        <v>1478.052506</v>
      </c>
      <c r="E637" s="7">
        <f t="shared" si="10"/>
        <v>1299502695.828716</v>
      </c>
      <c r="F637" s="7">
        <v>1710658.7938952111</v>
      </c>
      <c r="G637" s="7">
        <v>0</v>
      </c>
      <c r="H637" s="7">
        <v>0</v>
      </c>
      <c r="I637" s="7">
        <v>1710658.7938952111</v>
      </c>
      <c r="J637" s="6">
        <v>5.0053607861554346</v>
      </c>
      <c r="K637" s="7">
        <v>1208.146099552662</v>
      </c>
      <c r="L637" s="7">
        <v>21435446</v>
      </c>
      <c r="M637" s="6">
        <v>39.045614499999999</v>
      </c>
      <c r="N637" s="6">
        <v>38.606531500000003</v>
      </c>
      <c r="O637" s="6">
        <v>48.107662699999999</v>
      </c>
      <c r="P637" s="6">
        <v>44.774003299999997</v>
      </c>
      <c r="Q637" s="6">
        <v>47.326374000000001</v>
      </c>
      <c r="R637" s="6">
        <v>48.622446500000002</v>
      </c>
      <c r="S637" s="5">
        <v>1</v>
      </c>
      <c r="T637" s="5">
        <v>1</v>
      </c>
      <c r="U637" s="5">
        <v>0</v>
      </c>
    </row>
    <row r="638" spans="1:21" x14ac:dyDescent="0.3">
      <c r="A638" s="2" t="s">
        <v>68</v>
      </c>
      <c r="B638" s="2">
        <v>2018</v>
      </c>
      <c r="C638" s="2" t="s">
        <v>69</v>
      </c>
      <c r="D638" s="8">
        <v>1524.1576930000001</v>
      </c>
      <c r="E638" s="4">
        <f t="shared" si="10"/>
        <v>1340038342.942045</v>
      </c>
      <c r="F638" s="4">
        <v>8239144.1358273597</v>
      </c>
      <c r="G638" s="4">
        <v>82391.441358273602</v>
      </c>
      <c r="H638" s="4">
        <v>0</v>
      </c>
      <c r="I638" s="4">
        <v>8321535.5771856336</v>
      </c>
      <c r="J638" s="3">
        <v>7.2114180276289659</v>
      </c>
      <c r="K638" s="4">
        <v>1275.996439353275</v>
      </c>
      <c r="L638" s="4">
        <v>22188069</v>
      </c>
      <c r="M638" s="3">
        <v>38.802999399999997</v>
      </c>
      <c r="N638" s="3">
        <v>39.426378900000003</v>
      </c>
      <c r="O638" s="3">
        <v>45.555751899999997</v>
      </c>
      <c r="P638" s="3">
        <v>44.391781399999999</v>
      </c>
      <c r="Q638" s="3">
        <v>47.077887599999997</v>
      </c>
      <c r="R638" s="3">
        <v>47.843774699999997</v>
      </c>
      <c r="S638" s="2">
        <v>1</v>
      </c>
      <c r="T638" s="2">
        <v>1</v>
      </c>
      <c r="U638" s="2">
        <v>0</v>
      </c>
    </row>
    <row r="639" spans="1:21" x14ac:dyDescent="0.3">
      <c r="A639" s="5" t="s">
        <v>68</v>
      </c>
      <c r="B639" s="5">
        <v>2019</v>
      </c>
      <c r="C639" s="5" t="s">
        <v>69</v>
      </c>
      <c r="D639" s="9">
        <v>1720.3880300000001</v>
      </c>
      <c r="E639" s="7">
        <f t="shared" si="10"/>
        <v>1512563913.5152986</v>
      </c>
      <c r="F639" s="7">
        <v>0</v>
      </c>
      <c r="G639" s="7">
        <v>1168507196.75262</v>
      </c>
      <c r="H639" s="7"/>
      <c r="I639" s="7">
        <v>1168507196.75262</v>
      </c>
      <c r="J639" s="6">
        <v>5.939852571235221</v>
      </c>
      <c r="K639" s="7">
        <v>1419.168050701931</v>
      </c>
      <c r="L639" s="7">
        <v>22947757</v>
      </c>
      <c r="M639" s="6">
        <v>38.9720972</v>
      </c>
      <c r="N639" s="6">
        <v>38.416983399999999</v>
      </c>
      <c r="O639" s="6">
        <v>45.5647454</v>
      </c>
      <c r="P639" s="6">
        <v>44.686498800000003</v>
      </c>
      <c r="Q639" s="6">
        <v>47.685528699999999</v>
      </c>
      <c r="R639" s="6">
        <v>47.628280599999997</v>
      </c>
      <c r="S639" s="5">
        <v>1</v>
      </c>
      <c r="T639" s="5">
        <v>1</v>
      </c>
      <c r="U639" s="5">
        <v>0</v>
      </c>
    </row>
    <row r="640" spans="1:21" x14ac:dyDescent="0.3">
      <c r="A640" s="2" t="s">
        <v>68</v>
      </c>
      <c r="B640" s="2">
        <v>2020</v>
      </c>
      <c r="C640" s="2" t="s">
        <v>69</v>
      </c>
      <c r="D640" s="8">
        <v>2220.1985370000002</v>
      </c>
      <c r="E640" s="4">
        <f t="shared" si="10"/>
        <v>1951996950.3075769</v>
      </c>
      <c r="F640" s="4">
        <v>9731777.4907553885</v>
      </c>
      <c r="G640" s="4"/>
      <c r="H640" s="4"/>
      <c r="I640" s="4">
        <v>9731777.4907553885</v>
      </c>
      <c r="J640" s="3">
        <v>3.5506410943689128</v>
      </c>
      <c r="K640" s="4">
        <v>1496.8335002302199</v>
      </c>
      <c r="L640" s="4">
        <v>23717613</v>
      </c>
      <c r="M640" s="3">
        <v>37.126998399999998</v>
      </c>
      <c r="N640" s="3">
        <v>38.558354999999999</v>
      </c>
      <c r="O640" s="3">
        <v>40.229647399999998</v>
      </c>
      <c r="P640" s="3">
        <v>43.038765400000003</v>
      </c>
      <c r="Q640" s="3">
        <v>48.028174900000003</v>
      </c>
      <c r="R640" s="3">
        <v>49.3231866</v>
      </c>
      <c r="S640" s="2">
        <v>1</v>
      </c>
      <c r="T640" s="2">
        <v>1</v>
      </c>
      <c r="U640" s="2">
        <v>0</v>
      </c>
    </row>
    <row r="641" spans="1:21" x14ac:dyDescent="0.3">
      <c r="A641" s="5" t="s">
        <v>68</v>
      </c>
      <c r="B641" s="5">
        <v>2021</v>
      </c>
      <c r="C641" s="5" t="s">
        <v>69</v>
      </c>
      <c r="D641" s="9">
        <v>1951.4467669999999</v>
      </c>
      <c r="E641" s="7">
        <f t="shared" si="10"/>
        <v>1715710588.215553</v>
      </c>
      <c r="F641" s="7">
        <v>14400000</v>
      </c>
      <c r="G641" s="7"/>
      <c r="H641" s="7">
        <v>0</v>
      </c>
      <c r="I641" s="7">
        <v>14400000</v>
      </c>
      <c r="J641" s="6">
        <v>1.383596361984772</v>
      </c>
      <c r="K641" s="7">
        <v>1585.5992202118821</v>
      </c>
      <c r="L641" s="7">
        <v>24502140</v>
      </c>
      <c r="M641" s="6">
        <v>36.453764900000003</v>
      </c>
      <c r="N641" s="6">
        <v>38.9059363</v>
      </c>
      <c r="O641" s="6">
        <v>40.625426399999988</v>
      </c>
      <c r="P641" s="6">
        <v>43.9100702</v>
      </c>
      <c r="Q641" s="6">
        <v>46.6559259</v>
      </c>
      <c r="R641" s="6">
        <v>47.098061899999998</v>
      </c>
      <c r="S641" s="5">
        <v>1</v>
      </c>
      <c r="T641" s="5">
        <v>1</v>
      </c>
      <c r="U641" s="5">
        <v>0</v>
      </c>
    </row>
    <row r="642" spans="1:21" x14ac:dyDescent="0.3">
      <c r="A642" s="5" t="s">
        <v>70</v>
      </c>
      <c r="B642" s="5">
        <v>2002</v>
      </c>
      <c r="C642" s="5" t="s">
        <v>71</v>
      </c>
      <c r="D642" s="9">
        <v>453.14652799999999</v>
      </c>
      <c r="E642" s="7">
        <f t="shared" si="10"/>
        <v>398406100.1561082</v>
      </c>
      <c r="F642" s="7">
        <v>13747001.96102</v>
      </c>
      <c r="G642" s="7">
        <v>973815084.83304596</v>
      </c>
      <c r="H642" s="7"/>
      <c r="I642" s="7">
        <v>987562086.79406595</v>
      </c>
      <c r="J642" s="6">
        <v>15.32915574095593</v>
      </c>
      <c r="K642" s="7">
        <v>3770.179348818197</v>
      </c>
      <c r="L642" s="7">
        <v>133471989</v>
      </c>
      <c r="M642" s="6">
        <v>13.6798869</v>
      </c>
      <c r="N642" s="6">
        <v>21.660601400000001</v>
      </c>
      <c r="O642" s="6">
        <v>30.643840999999998</v>
      </c>
      <c r="P642" s="6">
        <v>36.637752999999996</v>
      </c>
      <c r="Q642" s="6">
        <v>30.6984888</v>
      </c>
      <c r="R642" s="6">
        <v>40.900017499999997</v>
      </c>
      <c r="S642" s="5">
        <v>0</v>
      </c>
      <c r="T642" s="5">
        <v>0</v>
      </c>
      <c r="U642" s="5">
        <v>0</v>
      </c>
    </row>
    <row r="643" spans="1:21" x14ac:dyDescent="0.3">
      <c r="A643" s="2" t="s">
        <v>70</v>
      </c>
      <c r="B643" s="2">
        <v>2003</v>
      </c>
      <c r="C643" s="2" t="s">
        <v>71</v>
      </c>
      <c r="D643" s="8">
        <v>462.42305299999998</v>
      </c>
      <c r="E643" s="4">
        <f t="shared" si="10"/>
        <v>406562014.23662096</v>
      </c>
      <c r="F643" s="4">
        <v>5950921.8110112501</v>
      </c>
      <c r="G643" s="4"/>
      <c r="H643" s="4"/>
      <c r="I643" s="4">
        <v>5950921.8110112501</v>
      </c>
      <c r="J643" s="3">
        <v>7.3471949679949233</v>
      </c>
      <c r="K643" s="4">
        <v>4014.8669535493559</v>
      </c>
      <c r="L643" s="4">
        <v>137202644</v>
      </c>
      <c r="M643" s="3">
        <v>17.175205200000001</v>
      </c>
      <c r="N643" s="3">
        <v>24.649291099999999</v>
      </c>
      <c r="O643" s="3">
        <v>34.179949299999997</v>
      </c>
      <c r="P643" s="3">
        <v>36.753172999999997</v>
      </c>
      <c r="Q643" s="3">
        <v>32.433007600000003</v>
      </c>
      <c r="R643" s="3">
        <v>41.465484500000002</v>
      </c>
      <c r="S643" s="2">
        <v>0</v>
      </c>
      <c r="T643" s="2">
        <v>0</v>
      </c>
      <c r="U643" s="2">
        <v>0</v>
      </c>
    </row>
    <row r="644" spans="1:21" x14ac:dyDescent="0.3">
      <c r="A644" s="5" t="s">
        <v>70</v>
      </c>
      <c r="B644" s="5">
        <v>2004</v>
      </c>
      <c r="C644" s="5" t="s">
        <v>71</v>
      </c>
      <c r="D644" s="9">
        <v>710.06824700000004</v>
      </c>
      <c r="E644" s="7">
        <f t="shared" si="10"/>
        <v>624291489.95257044</v>
      </c>
      <c r="F644" s="7">
        <v>0</v>
      </c>
      <c r="G644" s="7"/>
      <c r="H644" s="7"/>
      <c r="I644" s="7">
        <v>0</v>
      </c>
      <c r="J644" s="6">
        <v>9.2505582291798021</v>
      </c>
      <c r="K644" s="7">
        <v>4381.1368282511658</v>
      </c>
      <c r="L644" s="7">
        <v>141057045</v>
      </c>
      <c r="M644" s="6">
        <v>19.602750199999999</v>
      </c>
      <c r="N644" s="6">
        <v>30.113237699999999</v>
      </c>
      <c r="O644" s="6">
        <v>36.436495299999997</v>
      </c>
      <c r="P644" s="6">
        <v>35.335880600000003</v>
      </c>
      <c r="Q644" s="6">
        <v>35.641247900000003</v>
      </c>
      <c r="R644" s="6">
        <v>41.627211000000003</v>
      </c>
      <c r="S644" s="5">
        <v>1</v>
      </c>
      <c r="T644" s="5">
        <v>1</v>
      </c>
      <c r="U644" s="5">
        <v>0</v>
      </c>
    </row>
    <row r="645" spans="1:21" x14ac:dyDescent="0.3">
      <c r="A645" s="2" t="s">
        <v>70</v>
      </c>
      <c r="B645" s="2">
        <v>2005</v>
      </c>
      <c r="C645" s="2" t="s">
        <v>71</v>
      </c>
      <c r="D645" s="8">
        <v>7763.7481939999998</v>
      </c>
      <c r="E645" s="4">
        <f t="shared" si="10"/>
        <v>6825881805.2018003</v>
      </c>
      <c r="F645" s="4">
        <v>10666201.609851001</v>
      </c>
      <c r="G645" s="4">
        <v>49915367.041125402</v>
      </c>
      <c r="H645" s="4"/>
      <c r="I645" s="4">
        <v>60581568.650976397</v>
      </c>
      <c r="J645" s="3">
        <v>6.4385165253834771</v>
      </c>
      <c r="K645" s="4">
        <v>4678.0916324517329</v>
      </c>
      <c r="L645" s="4">
        <v>145017253</v>
      </c>
      <c r="M645" s="3">
        <v>21.953148599999999</v>
      </c>
      <c r="N645" s="3">
        <v>30.150795800000001</v>
      </c>
      <c r="O645" s="3">
        <v>36.276859199999997</v>
      </c>
      <c r="P645" s="3">
        <v>38.792319900000003</v>
      </c>
      <c r="Q645" s="3">
        <v>35.171165100000003</v>
      </c>
      <c r="R645" s="3">
        <v>43.142674499999998</v>
      </c>
      <c r="S645" s="2">
        <v>0</v>
      </c>
      <c r="T645" s="2">
        <v>0</v>
      </c>
      <c r="U645" s="2">
        <v>0</v>
      </c>
    </row>
    <row r="646" spans="1:21" x14ac:dyDescent="0.3">
      <c r="A646" s="5" t="s">
        <v>70</v>
      </c>
      <c r="B646" s="5">
        <v>2006</v>
      </c>
      <c r="C646" s="5" t="s">
        <v>71</v>
      </c>
      <c r="D646" s="9">
        <v>13919.15734</v>
      </c>
      <c r="E646" s="7">
        <f t="shared" si="10"/>
        <v>12237713080.941158</v>
      </c>
      <c r="F646" s="7">
        <v>1274368.65640857</v>
      </c>
      <c r="G646" s="7">
        <v>447028798.75647402</v>
      </c>
      <c r="H646" s="7"/>
      <c r="I646" s="7">
        <v>448303167.41288251</v>
      </c>
      <c r="J646" s="6">
        <v>6.0594280320290608</v>
      </c>
      <c r="K646" s="7">
        <v>4975.2697931496659</v>
      </c>
      <c r="L646" s="7">
        <v>149077334</v>
      </c>
      <c r="M646" s="6">
        <v>23.792191200000001</v>
      </c>
      <c r="N646" s="6">
        <v>31.012449700000001</v>
      </c>
      <c r="O646" s="6">
        <v>34.657764299999997</v>
      </c>
      <c r="P646" s="6">
        <v>40.680308699999998</v>
      </c>
      <c r="Q646" s="6">
        <v>37.915578699999998</v>
      </c>
      <c r="R646" s="6">
        <v>45.256488599999997</v>
      </c>
      <c r="S646" s="5">
        <v>0</v>
      </c>
      <c r="T646" s="5">
        <v>0</v>
      </c>
      <c r="U646" s="5">
        <v>0</v>
      </c>
    </row>
    <row r="647" spans="1:21" x14ac:dyDescent="0.3">
      <c r="A647" s="2" t="s">
        <v>70</v>
      </c>
      <c r="B647" s="2">
        <v>2007</v>
      </c>
      <c r="C647" s="2" t="s">
        <v>71</v>
      </c>
      <c r="D647" s="8">
        <v>2325.2325989999999</v>
      </c>
      <c r="E647" s="4">
        <f t="shared" si="10"/>
        <v>2044342821.7625928</v>
      </c>
      <c r="F647" s="4">
        <v>23522515.961581621</v>
      </c>
      <c r="G647" s="4">
        <v>0</v>
      </c>
      <c r="H647" s="4"/>
      <c r="I647" s="4">
        <v>23522515.961581621</v>
      </c>
      <c r="J647" s="3">
        <v>6.5911303606867904</v>
      </c>
      <c r="K647" s="4">
        <v>5297.9702950328492</v>
      </c>
      <c r="L647" s="4">
        <v>153267261</v>
      </c>
      <c r="M647" s="3">
        <v>24.422042999999999</v>
      </c>
      <c r="N647" s="3">
        <v>32.753838700000003</v>
      </c>
      <c r="O647" s="3">
        <v>36.729079200000001</v>
      </c>
      <c r="P647" s="3">
        <v>41.592903100000001</v>
      </c>
      <c r="Q647" s="3">
        <v>39.058269600000003</v>
      </c>
      <c r="R647" s="3">
        <v>44.638941199999998</v>
      </c>
      <c r="S647" s="2">
        <v>0</v>
      </c>
      <c r="T647" s="2">
        <v>0</v>
      </c>
      <c r="U647" s="2">
        <v>0</v>
      </c>
    </row>
    <row r="648" spans="1:21" x14ac:dyDescent="0.3">
      <c r="A648" s="5" t="s">
        <v>70</v>
      </c>
      <c r="B648" s="5">
        <v>2008</v>
      </c>
      <c r="C648" s="5" t="s">
        <v>71</v>
      </c>
      <c r="D648" s="9">
        <v>1661.439355</v>
      </c>
      <c r="E648" s="7">
        <f t="shared" si="10"/>
        <v>1460736281.0279102</v>
      </c>
      <c r="F648" s="7"/>
      <c r="G648" s="7">
        <v>10214725.6770586</v>
      </c>
      <c r="H648" s="7">
        <v>60022947.747134097</v>
      </c>
      <c r="I648" s="7">
        <v>70237673.424192697</v>
      </c>
      <c r="J648" s="6">
        <v>6.7644727778022826</v>
      </c>
      <c r="K648" s="7">
        <v>5607.0084015075763</v>
      </c>
      <c r="L648" s="7">
        <v>157595014</v>
      </c>
      <c r="M648" s="6">
        <v>26.746795299999999</v>
      </c>
      <c r="N648" s="6">
        <v>31.5697756</v>
      </c>
      <c r="O648" s="6">
        <v>38.573640900000001</v>
      </c>
      <c r="P648" s="6">
        <v>42.865760799999997</v>
      </c>
      <c r="Q648" s="6">
        <v>39.770002699999999</v>
      </c>
      <c r="R648" s="6">
        <v>43.8761723</v>
      </c>
      <c r="S648" s="5">
        <v>0</v>
      </c>
      <c r="T648" s="5">
        <v>0</v>
      </c>
      <c r="U648" s="5">
        <v>0</v>
      </c>
    </row>
    <row r="649" spans="1:21" x14ac:dyDescent="0.3">
      <c r="A649" s="2" t="s">
        <v>70</v>
      </c>
      <c r="B649" s="2">
        <v>2009</v>
      </c>
      <c r="C649" s="2" t="s">
        <v>71</v>
      </c>
      <c r="D649" s="8">
        <v>1950.723663</v>
      </c>
      <c r="E649" s="4">
        <f t="shared" si="10"/>
        <v>1715074835.7009773</v>
      </c>
      <c r="F649" s="4">
        <v>1099325.78842508</v>
      </c>
      <c r="G649" s="4">
        <v>15020100.482747899</v>
      </c>
      <c r="H649" s="4"/>
      <c r="I649" s="4">
        <v>16119426.27117298</v>
      </c>
      <c r="J649" s="3">
        <v>8.0369251009902314</v>
      </c>
      <c r="K649" s="4">
        <v>5927.4611176863482</v>
      </c>
      <c r="L649" s="4">
        <v>162049464</v>
      </c>
      <c r="M649" s="3">
        <v>26.1856413</v>
      </c>
      <c r="N649" s="3">
        <v>29.556541800000002</v>
      </c>
      <c r="O649" s="3">
        <v>40.579951800000003</v>
      </c>
      <c r="P649" s="3">
        <v>43.0178005</v>
      </c>
      <c r="Q649" s="3">
        <v>39.677958099999998</v>
      </c>
      <c r="R649" s="3">
        <v>42.179318199999997</v>
      </c>
      <c r="S649" s="2">
        <v>1</v>
      </c>
      <c r="T649" s="2">
        <v>1</v>
      </c>
      <c r="U649" s="2">
        <v>0</v>
      </c>
    </row>
    <row r="650" spans="1:21" x14ac:dyDescent="0.3">
      <c r="A650" s="5" t="s">
        <v>70</v>
      </c>
      <c r="B650" s="5">
        <v>2010</v>
      </c>
      <c r="C650" s="5" t="s">
        <v>71</v>
      </c>
      <c r="D650" s="9">
        <v>2461.550299</v>
      </c>
      <c r="E650" s="7">
        <f t="shared" si="10"/>
        <v>2164193245.1542301</v>
      </c>
      <c r="F650" s="7"/>
      <c r="G650" s="7">
        <v>1559297077.3174701</v>
      </c>
      <c r="H650" s="7"/>
      <c r="I650" s="7">
        <v>1559297077.3174701</v>
      </c>
      <c r="J650" s="6">
        <v>8.0056559162870116</v>
      </c>
      <c r="K650" s="7">
        <v>6301.1837254479087</v>
      </c>
      <c r="L650" s="7">
        <v>166642886</v>
      </c>
      <c r="M650" s="6">
        <v>24.957188599999999</v>
      </c>
      <c r="N650" s="6">
        <v>29.221027400000001</v>
      </c>
      <c r="O650" s="6">
        <v>31.311828999999999</v>
      </c>
      <c r="P650" s="6">
        <v>40.490766200000003</v>
      </c>
      <c r="Q650" s="6">
        <v>37.763449799999997</v>
      </c>
      <c r="R650" s="6">
        <v>41.317521900000003</v>
      </c>
      <c r="S650" s="5">
        <v>0</v>
      </c>
      <c r="T650" s="5">
        <v>0</v>
      </c>
      <c r="U650" s="5">
        <v>0</v>
      </c>
    </row>
    <row r="651" spans="1:21" x14ac:dyDescent="0.3">
      <c r="A651" s="2" t="s">
        <v>70</v>
      </c>
      <c r="B651" s="2">
        <v>2011</v>
      </c>
      <c r="C651" s="2" t="s">
        <v>71</v>
      </c>
      <c r="D651" s="8">
        <v>2138.0436199999999</v>
      </c>
      <c r="E651" s="4">
        <f t="shared" si="10"/>
        <v>1879766406.6132891</v>
      </c>
      <c r="F651" s="4">
        <v>0</v>
      </c>
      <c r="G651" s="4"/>
      <c r="H651" s="4"/>
      <c r="I651" s="4">
        <v>0</v>
      </c>
      <c r="J651" s="3">
        <v>5.3079242028945259</v>
      </c>
      <c r="K651" s="4">
        <v>6585.3619327103488</v>
      </c>
      <c r="L651" s="4">
        <v>171379598</v>
      </c>
      <c r="M651" s="3">
        <v>24.7647665</v>
      </c>
      <c r="N651" s="3">
        <v>29.535233099999999</v>
      </c>
      <c r="O651" s="3">
        <v>32.659517699999988</v>
      </c>
      <c r="P651" s="3">
        <v>41.054812200000001</v>
      </c>
      <c r="Q651" s="3">
        <v>38.700694800000001</v>
      </c>
      <c r="R651" s="3">
        <v>43.304033400000002</v>
      </c>
      <c r="S651" s="2">
        <v>1</v>
      </c>
      <c r="T651" s="2">
        <v>1</v>
      </c>
      <c r="U651" s="2">
        <v>0</v>
      </c>
    </row>
    <row r="652" spans="1:21" x14ac:dyDescent="0.3">
      <c r="A652" s="5" t="s">
        <v>70</v>
      </c>
      <c r="B652" s="5">
        <v>2012</v>
      </c>
      <c r="C652" s="5" t="s">
        <v>71</v>
      </c>
      <c r="D652" s="9">
        <v>2265.908993</v>
      </c>
      <c r="E652" s="7">
        <f t="shared" si="10"/>
        <v>1992185550.2107794</v>
      </c>
      <c r="F652" s="7"/>
      <c r="G652" s="7">
        <v>587061778.96292198</v>
      </c>
      <c r="H652" s="7"/>
      <c r="I652" s="7">
        <v>587061778.96292198</v>
      </c>
      <c r="J652" s="6">
        <v>4.2300611749322314</v>
      </c>
      <c r="K652" s="7">
        <v>6670.8382624362685</v>
      </c>
      <c r="L652" s="7">
        <v>176200625</v>
      </c>
      <c r="M652" s="6">
        <v>24.644392199999999</v>
      </c>
      <c r="N652" s="6">
        <v>32.4814474</v>
      </c>
      <c r="O652" s="6">
        <v>30.221986999999999</v>
      </c>
      <c r="P652" s="6">
        <v>42.9894119</v>
      </c>
      <c r="Q652" s="6">
        <v>38.282746699999997</v>
      </c>
      <c r="R652" s="6">
        <v>45.400570799999997</v>
      </c>
      <c r="S652" s="5">
        <v>1</v>
      </c>
      <c r="T652" s="5">
        <v>1</v>
      </c>
      <c r="U652" s="5">
        <v>0</v>
      </c>
    </row>
    <row r="653" spans="1:21" x14ac:dyDescent="0.3">
      <c r="A653" s="2" t="s">
        <v>70</v>
      </c>
      <c r="B653" s="2">
        <v>2013</v>
      </c>
      <c r="C653" s="2" t="s">
        <v>71</v>
      </c>
      <c r="D653" s="8">
        <v>2972.1465349999999</v>
      </c>
      <c r="E653" s="4">
        <f t="shared" si="10"/>
        <v>2613109087.0938768</v>
      </c>
      <c r="F653" s="4">
        <v>1142203.8791588431</v>
      </c>
      <c r="G653" s="4">
        <v>2125581836.0223391</v>
      </c>
      <c r="H653" s="4">
        <v>112803655.21898299</v>
      </c>
      <c r="I653" s="4">
        <v>2239527695.120481</v>
      </c>
      <c r="J653" s="3">
        <v>6.6713353930616677</v>
      </c>
      <c r="K653" s="4">
        <v>7004.1311955447673</v>
      </c>
      <c r="L653" s="4">
        <v>181049443</v>
      </c>
      <c r="M653" s="3">
        <v>23.864645700000001</v>
      </c>
      <c r="N653" s="3">
        <v>32.246818300000001</v>
      </c>
      <c r="O653" s="3">
        <v>31.913868300000001</v>
      </c>
      <c r="P653" s="3">
        <v>43.176692799999998</v>
      </c>
      <c r="Q653" s="3">
        <v>36.555267100000002</v>
      </c>
      <c r="R653" s="3">
        <v>45.181320599999999</v>
      </c>
      <c r="S653" s="2">
        <v>1</v>
      </c>
      <c r="T653" s="2">
        <v>2</v>
      </c>
      <c r="U653" s="2">
        <v>1</v>
      </c>
    </row>
    <row r="654" spans="1:21" x14ac:dyDescent="0.3">
      <c r="A654" s="5" t="s">
        <v>70</v>
      </c>
      <c r="B654" s="5">
        <v>2014</v>
      </c>
      <c r="C654" s="5" t="s">
        <v>71</v>
      </c>
      <c r="D654" s="9">
        <v>2873.0635470000002</v>
      </c>
      <c r="E654" s="7">
        <f t="shared" si="10"/>
        <v>2525995395.6018076</v>
      </c>
      <c r="F654" s="7">
        <v>2066311.647067161</v>
      </c>
      <c r="G654" s="7"/>
      <c r="H654" s="7">
        <v>124548213.533454</v>
      </c>
      <c r="I654" s="7">
        <v>126614525.18052121</v>
      </c>
      <c r="J654" s="6">
        <v>6.309718655254315</v>
      </c>
      <c r="K654" s="7">
        <v>7396.1283553294716</v>
      </c>
      <c r="L654" s="7">
        <v>185896915</v>
      </c>
      <c r="M654" s="6">
        <v>21.578896799999999</v>
      </c>
      <c r="N654" s="6">
        <v>30.828839899999998</v>
      </c>
      <c r="O654" s="6">
        <v>28.561706699999998</v>
      </c>
      <c r="P654" s="6">
        <v>42.339990499999999</v>
      </c>
      <c r="Q654" s="6">
        <v>37.481839699999988</v>
      </c>
      <c r="R654" s="6">
        <v>45.770687199999998</v>
      </c>
      <c r="S654" s="5">
        <v>1</v>
      </c>
      <c r="T654" s="5">
        <v>2</v>
      </c>
      <c r="U654" s="5">
        <v>1</v>
      </c>
    </row>
    <row r="655" spans="1:21" x14ac:dyDescent="0.3">
      <c r="A655" s="2" t="s">
        <v>70</v>
      </c>
      <c r="B655" s="2">
        <v>2015</v>
      </c>
      <c r="C655" s="2" t="s">
        <v>71</v>
      </c>
      <c r="D655" s="8">
        <v>3003.0640579999999</v>
      </c>
      <c r="E655" s="4">
        <f t="shared" si="10"/>
        <v>2640291750.9869051</v>
      </c>
      <c r="F655" s="4">
        <v>146498.73452959821</v>
      </c>
      <c r="G655" s="4"/>
      <c r="H655" s="4"/>
      <c r="I655" s="4">
        <v>146498.73452959821</v>
      </c>
      <c r="J655" s="3">
        <v>2.6526932954300122</v>
      </c>
      <c r="K655" s="4">
        <v>7307.8378818892461</v>
      </c>
      <c r="L655" s="4">
        <v>190671878</v>
      </c>
      <c r="M655" s="3">
        <v>24.3464186</v>
      </c>
      <c r="N655" s="3">
        <v>33.570903600000001</v>
      </c>
      <c r="O655" s="3">
        <v>37.4061904</v>
      </c>
      <c r="P655" s="3">
        <v>43.188784699999999</v>
      </c>
      <c r="Q655" s="3">
        <v>40.427332799999988</v>
      </c>
      <c r="R655" s="3">
        <v>47.802782200000003</v>
      </c>
      <c r="S655" s="2">
        <v>1</v>
      </c>
      <c r="T655" s="2">
        <v>2</v>
      </c>
      <c r="U655" s="2">
        <v>1</v>
      </c>
    </row>
    <row r="656" spans="1:21" x14ac:dyDescent="0.3">
      <c r="A656" s="5" t="s">
        <v>70</v>
      </c>
      <c r="B656" s="5">
        <v>2016</v>
      </c>
      <c r="C656" s="5" t="s">
        <v>71</v>
      </c>
      <c r="D656" s="9">
        <v>3247.1054119999999</v>
      </c>
      <c r="E656" s="7">
        <f t="shared" si="10"/>
        <v>2854852733.1775408</v>
      </c>
      <c r="F656" s="7">
        <v>1457110.494033562</v>
      </c>
      <c r="G656" s="7">
        <v>384552604.23710197</v>
      </c>
      <c r="H656" s="7"/>
      <c r="I656" s="7">
        <v>386009714.73113549</v>
      </c>
      <c r="J656" s="6">
        <v>-1.6168689490650929</v>
      </c>
      <c r="K656" s="7">
        <v>7072.4969337231078</v>
      </c>
      <c r="L656" s="7">
        <v>195443700</v>
      </c>
      <c r="M656" s="6">
        <v>25.769663600000001</v>
      </c>
      <c r="N656" s="6">
        <v>33.468192500000001</v>
      </c>
      <c r="O656" s="6">
        <v>36.683720699999988</v>
      </c>
      <c r="P656" s="6">
        <v>42.009274900000001</v>
      </c>
      <c r="Q656" s="6">
        <v>41.828638599999998</v>
      </c>
      <c r="R656" s="6">
        <v>46.652364599999999</v>
      </c>
      <c r="S656" s="5">
        <v>1</v>
      </c>
      <c r="T656" s="5">
        <v>2</v>
      </c>
      <c r="U656" s="5">
        <v>1</v>
      </c>
    </row>
    <row r="657" spans="1:21" x14ac:dyDescent="0.3">
      <c r="A657" s="2" t="s">
        <v>70</v>
      </c>
      <c r="B657" s="2">
        <v>2017</v>
      </c>
      <c r="C657" s="2" t="s">
        <v>71</v>
      </c>
      <c r="D657" s="8">
        <v>4176.6427530000001</v>
      </c>
      <c r="E657" s="4">
        <f t="shared" si="10"/>
        <v>3672101292.0747824</v>
      </c>
      <c r="F657" s="4">
        <v>14564100.980209669</v>
      </c>
      <c r="G657" s="4">
        <v>2088774267.1337471</v>
      </c>
      <c r="H657" s="4"/>
      <c r="I657" s="4">
        <v>2103338368.1139569</v>
      </c>
      <c r="J657" s="3">
        <v>0.80588661910243786</v>
      </c>
      <c r="K657" s="4">
        <v>7036.6741437238716</v>
      </c>
      <c r="L657" s="4">
        <v>200254579</v>
      </c>
      <c r="M657" s="3">
        <v>24.690492299999999</v>
      </c>
      <c r="N657" s="3">
        <v>34.6017808</v>
      </c>
      <c r="O657" s="3">
        <v>33.272202299999996</v>
      </c>
      <c r="P657" s="3">
        <v>42.591383800000003</v>
      </c>
      <c r="Q657" s="3">
        <v>43.302922899999999</v>
      </c>
      <c r="R657" s="3">
        <v>47.310437099999987</v>
      </c>
      <c r="S657" s="2">
        <v>1</v>
      </c>
      <c r="T657" s="2">
        <v>2</v>
      </c>
      <c r="U657" s="2">
        <v>1</v>
      </c>
    </row>
    <row r="658" spans="1:21" x14ac:dyDescent="0.3">
      <c r="A658" s="5" t="s">
        <v>70</v>
      </c>
      <c r="B658" s="5">
        <v>2018</v>
      </c>
      <c r="C658" s="5" t="s">
        <v>71</v>
      </c>
      <c r="D658" s="9">
        <v>4021.7068439999998</v>
      </c>
      <c r="E658" s="7">
        <f t="shared" si="10"/>
        <v>3535881752.7763777</v>
      </c>
      <c r="F658" s="7">
        <v>433620579.10411161</v>
      </c>
      <c r="G658" s="7">
        <v>812316462.97229552</v>
      </c>
      <c r="H658" s="7"/>
      <c r="I658" s="7">
        <v>1245937042.076407</v>
      </c>
      <c r="J658" s="6">
        <v>1.9227573420061359</v>
      </c>
      <c r="K658" s="7">
        <v>7158.1710757178098</v>
      </c>
      <c r="L658" s="7">
        <v>204938755</v>
      </c>
      <c r="M658" s="6">
        <v>24.672459100000001</v>
      </c>
      <c r="N658" s="6">
        <v>34.893983599999999</v>
      </c>
      <c r="O658" s="6">
        <v>33.687401299999998</v>
      </c>
      <c r="P658" s="6">
        <v>41.772222599999999</v>
      </c>
      <c r="Q658" s="6">
        <v>42.958228699999999</v>
      </c>
      <c r="R658" s="6">
        <v>48.1309556</v>
      </c>
      <c r="S658" s="5">
        <v>1</v>
      </c>
      <c r="T658" s="5">
        <v>1</v>
      </c>
      <c r="U658" s="5">
        <v>0</v>
      </c>
    </row>
    <row r="659" spans="1:21" x14ac:dyDescent="0.3">
      <c r="A659" s="2" t="s">
        <v>70</v>
      </c>
      <c r="B659" s="2">
        <v>2019</v>
      </c>
      <c r="C659" s="2" t="s">
        <v>71</v>
      </c>
      <c r="D659" s="8">
        <v>4064.617334</v>
      </c>
      <c r="E659" s="4">
        <f t="shared" si="10"/>
        <v>3573608624.5945101</v>
      </c>
      <c r="F659" s="4">
        <v>168474871.56303051</v>
      </c>
      <c r="G659" s="4">
        <v>1422007536.6139381</v>
      </c>
      <c r="H659" s="4"/>
      <c r="I659" s="4">
        <v>1590482408.1769681</v>
      </c>
      <c r="J659" s="3">
        <v>2.2084292771489231</v>
      </c>
      <c r="K659" s="4">
        <v>7551.3938036719182</v>
      </c>
      <c r="L659" s="4">
        <v>209485641</v>
      </c>
      <c r="M659" s="3">
        <v>25.065908</v>
      </c>
      <c r="N659" s="3">
        <v>32.521616799999997</v>
      </c>
      <c r="O659" s="3">
        <v>32.1888547</v>
      </c>
      <c r="P659" s="3">
        <v>41.226668599999996</v>
      </c>
      <c r="Q659" s="3">
        <v>42.5472027</v>
      </c>
      <c r="R659" s="3">
        <v>46.297870899999999</v>
      </c>
      <c r="S659" s="2">
        <v>1</v>
      </c>
      <c r="T659" s="2">
        <v>2</v>
      </c>
      <c r="U659" s="2">
        <v>1</v>
      </c>
    </row>
    <row r="660" spans="1:21" x14ac:dyDescent="0.3">
      <c r="A660" s="5" t="s">
        <v>70</v>
      </c>
      <c r="B660" s="5">
        <v>2020</v>
      </c>
      <c r="C660" s="5" t="s">
        <v>71</v>
      </c>
      <c r="D660" s="9">
        <v>4185.1882070000001</v>
      </c>
      <c r="E660" s="7">
        <f t="shared" si="10"/>
        <v>3679614449.0600734</v>
      </c>
      <c r="F660" s="7">
        <v>3254101.4490506109</v>
      </c>
      <c r="G660" s="7">
        <v>3077393721.9102278</v>
      </c>
      <c r="H660" s="7"/>
      <c r="I660" s="7">
        <v>3080647823.3592792</v>
      </c>
      <c r="J660" s="6">
        <v>-6.368898405101092</v>
      </c>
      <c r="K660" s="7">
        <v>7414.7749554048032</v>
      </c>
      <c r="L660" s="7">
        <v>213996181</v>
      </c>
      <c r="M660" s="6">
        <v>25.2281358</v>
      </c>
      <c r="N660" s="6">
        <v>32.204111500000003</v>
      </c>
      <c r="O660" s="6">
        <v>31.576810699999999</v>
      </c>
      <c r="P660" s="6">
        <v>40.867229999999999</v>
      </c>
      <c r="Q660" s="6">
        <v>42.485292299999998</v>
      </c>
      <c r="R660" s="6">
        <v>46.185932000000001</v>
      </c>
      <c r="S660" s="5">
        <v>1</v>
      </c>
      <c r="T660" s="5">
        <v>2</v>
      </c>
      <c r="U660" s="5">
        <v>1</v>
      </c>
    </row>
    <row r="661" spans="1:21" x14ac:dyDescent="0.3">
      <c r="A661" s="2" t="s">
        <v>70</v>
      </c>
      <c r="B661" s="2">
        <v>2021</v>
      </c>
      <c r="C661" s="2" t="s">
        <v>71</v>
      </c>
      <c r="D661" s="8">
        <v>4149.1973449999996</v>
      </c>
      <c r="E661" s="4">
        <f t="shared" si="10"/>
        <v>3647971309.1821995</v>
      </c>
      <c r="F661" s="4">
        <v>8472280.1846939772</v>
      </c>
      <c r="G661" s="4">
        <v>563271317.82945704</v>
      </c>
      <c r="H661" s="4"/>
      <c r="I661" s="4">
        <v>571743598.01415098</v>
      </c>
      <c r="J661" s="3">
        <v>1.109252539381629</v>
      </c>
      <c r="K661" s="4">
        <v>7588.4788559635899</v>
      </c>
      <c r="L661" s="4">
        <v>218529286</v>
      </c>
      <c r="M661" s="3">
        <v>23.748564600000002</v>
      </c>
      <c r="N661" s="3">
        <v>30.923048099999999</v>
      </c>
      <c r="O661" s="3">
        <v>31.499299600000001</v>
      </c>
      <c r="P661" s="3">
        <v>41.099737099999999</v>
      </c>
      <c r="Q661" s="3">
        <v>41.021960900000003</v>
      </c>
      <c r="R661" s="3">
        <v>43.556491100000002</v>
      </c>
      <c r="S661" s="2">
        <v>1</v>
      </c>
      <c r="T661" s="2">
        <v>2</v>
      </c>
      <c r="U661" s="2">
        <v>1</v>
      </c>
    </row>
    <row r="662" spans="1:21" x14ac:dyDescent="0.3">
      <c r="A662" s="2" t="s">
        <v>72</v>
      </c>
      <c r="B662" s="2">
        <v>2002</v>
      </c>
      <c r="C662" s="2" t="s">
        <v>73</v>
      </c>
      <c r="D662" s="8">
        <v>556.26795800000002</v>
      </c>
      <c r="E662" s="4">
        <f t="shared" si="10"/>
        <v>489070386.93802333</v>
      </c>
      <c r="F662" s="4">
        <v>27494003.922040101</v>
      </c>
      <c r="G662" s="4"/>
      <c r="H662" s="4"/>
      <c r="I662" s="4">
        <v>27494003.922040101</v>
      </c>
      <c r="J662" s="3">
        <v>13.192073625426231</v>
      </c>
      <c r="K662" s="4">
        <v>759.66261291149192</v>
      </c>
      <c r="L662" s="4">
        <v>8400180</v>
      </c>
      <c r="M662" s="3">
        <v>33.370444800000001</v>
      </c>
      <c r="N662" s="3">
        <v>23.754325699999999</v>
      </c>
      <c r="O662" s="3">
        <v>32.478982299999998</v>
      </c>
      <c r="P662" s="3">
        <v>41.0539779</v>
      </c>
      <c r="Q662" s="3">
        <v>38.126483800000003</v>
      </c>
      <c r="R662" s="3">
        <v>30.618983700000001</v>
      </c>
      <c r="S662" s="2">
        <v>1</v>
      </c>
      <c r="T662" s="2">
        <v>1</v>
      </c>
      <c r="U662" s="2">
        <v>0</v>
      </c>
    </row>
    <row r="663" spans="1:21" x14ac:dyDescent="0.3">
      <c r="A663" s="5" t="s">
        <v>72</v>
      </c>
      <c r="B663" s="5">
        <v>2003</v>
      </c>
      <c r="C663" s="5" t="s">
        <v>73</v>
      </c>
      <c r="D663" s="9">
        <v>467.114397</v>
      </c>
      <c r="E663" s="7">
        <f t="shared" si="10"/>
        <v>410686640.49334192</v>
      </c>
      <c r="F663" s="7">
        <v>0</v>
      </c>
      <c r="G663" s="7"/>
      <c r="H663" s="7"/>
      <c r="I663" s="7">
        <v>0</v>
      </c>
      <c r="J663" s="6">
        <v>2.2023875113960258</v>
      </c>
      <c r="K663" s="7">
        <v>774.50823733233494</v>
      </c>
      <c r="L663" s="7">
        <v>8586875</v>
      </c>
      <c r="M663" s="6">
        <v>33.330777500000003</v>
      </c>
      <c r="N663" s="6">
        <v>23.5745696</v>
      </c>
      <c r="O663" s="6">
        <v>44.900288199999999</v>
      </c>
      <c r="P663" s="6">
        <v>42.193059300000002</v>
      </c>
      <c r="Q663" s="6">
        <v>39.470546800000001</v>
      </c>
      <c r="R663" s="6">
        <v>34.128096300000003</v>
      </c>
      <c r="S663" s="5">
        <v>0</v>
      </c>
      <c r="T663" s="5">
        <v>0</v>
      </c>
      <c r="U663" s="5">
        <v>0</v>
      </c>
    </row>
    <row r="664" spans="1:21" x14ac:dyDescent="0.3">
      <c r="A664" s="2" t="s">
        <v>72</v>
      </c>
      <c r="B664" s="2">
        <v>2004</v>
      </c>
      <c r="C664" s="2" t="s">
        <v>73</v>
      </c>
      <c r="D664" s="8">
        <v>647.61301200000003</v>
      </c>
      <c r="E664" s="4">
        <f t="shared" si="10"/>
        <v>569380892.44561303</v>
      </c>
      <c r="F664" s="4">
        <v>0</v>
      </c>
      <c r="G664" s="4"/>
      <c r="H664" s="4"/>
      <c r="I664" s="4">
        <v>0</v>
      </c>
      <c r="J664" s="3">
        <v>7.4476673703407243</v>
      </c>
      <c r="K664" s="4">
        <v>832.2797193040534</v>
      </c>
      <c r="L664" s="4">
        <v>8816844</v>
      </c>
      <c r="M664" s="3">
        <v>40.601441600000001</v>
      </c>
      <c r="N664" s="3">
        <v>37.7135143</v>
      </c>
      <c r="O664" s="3">
        <v>44.398616999999987</v>
      </c>
      <c r="P664" s="3">
        <v>43.252386100000003</v>
      </c>
      <c r="Q664" s="3">
        <v>41.991295200000003</v>
      </c>
      <c r="R664" s="3">
        <v>34.909330400000002</v>
      </c>
      <c r="S664" s="2">
        <v>0</v>
      </c>
      <c r="T664" s="2">
        <v>0</v>
      </c>
      <c r="U664" s="2">
        <v>0</v>
      </c>
    </row>
    <row r="665" spans="1:21" x14ac:dyDescent="0.3">
      <c r="A665" s="5" t="s">
        <v>72</v>
      </c>
      <c r="B665" s="5">
        <v>2005</v>
      </c>
      <c r="C665" s="5" t="s">
        <v>73</v>
      </c>
      <c r="D665" s="9">
        <v>781.04909599999996</v>
      </c>
      <c r="E665" s="7">
        <f t="shared" si="10"/>
        <v>686697801.13114715</v>
      </c>
      <c r="F665" s="7">
        <v>0</v>
      </c>
      <c r="G665" s="7"/>
      <c r="H665" s="7"/>
      <c r="I665" s="7">
        <v>0</v>
      </c>
      <c r="J665" s="6">
        <v>9.3778991673685965</v>
      </c>
      <c r="K665" s="7">
        <v>914.22736640810376</v>
      </c>
      <c r="L665" s="7">
        <v>9054528</v>
      </c>
      <c r="M665" s="6">
        <v>40.572836199999998</v>
      </c>
      <c r="N665" s="6">
        <v>37.127564900000003</v>
      </c>
      <c r="O665" s="6">
        <v>46.769944500000001</v>
      </c>
      <c r="P665" s="6">
        <v>42.891996599999999</v>
      </c>
      <c r="Q665" s="6">
        <v>42.484362999999988</v>
      </c>
      <c r="R665" s="6">
        <v>38.702074199999998</v>
      </c>
      <c r="S665" s="5">
        <v>0</v>
      </c>
      <c r="T665" s="5">
        <v>0</v>
      </c>
      <c r="U665" s="5">
        <v>0</v>
      </c>
    </row>
    <row r="666" spans="1:21" x14ac:dyDescent="0.3">
      <c r="A666" s="2" t="s">
        <v>72</v>
      </c>
      <c r="B666" s="2">
        <v>2006</v>
      </c>
      <c r="C666" s="2" t="s">
        <v>73</v>
      </c>
      <c r="D666" s="8">
        <v>2342.0750159999998</v>
      </c>
      <c r="E666" s="4">
        <f t="shared" si="10"/>
        <v>2059150662.6254342</v>
      </c>
      <c r="F666" s="4">
        <v>68493575.517629445</v>
      </c>
      <c r="G666" s="4"/>
      <c r="H666" s="4"/>
      <c r="I666" s="4">
        <v>68493575.517629445</v>
      </c>
      <c r="J666" s="3">
        <v>9.2270757679888078</v>
      </c>
      <c r="K666" s="4">
        <v>1002.289493884278</v>
      </c>
      <c r="L666" s="4">
        <v>9299246</v>
      </c>
      <c r="M666" s="3">
        <v>43.319565900000001</v>
      </c>
      <c r="N666" s="3">
        <v>44.157217799999998</v>
      </c>
      <c r="O666" s="3">
        <v>55.208864899999988</v>
      </c>
      <c r="P666" s="3">
        <v>45.991793600000001</v>
      </c>
      <c r="Q666" s="3">
        <v>43.949190000000002</v>
      </c>
      <c r="R666" s="3">
        <v>40.412634500000003</v>
      </c>
      <c r="S666" s="2">
        <v>0</v>
      </c>
      <c r="T666" s="2">
        <v>0</v>
      </c>
      <c r="U666" s="2">
        <v>0</v>
      </c>
    </row>
    <row r="667" spans="1:21" x14ac:dyDescent="0.3">
      <c r="A667" s="5" t="s">
        <v>72</v>
      </c>
      <c r="B667" s="5">
        <v>2007</v>
      </c>
      <c r="C667" s="5" t="s">
        <v>73</v>
      </c>
      <c r="D667" s="9">
        <v>849.64599899999996</v>
      </c>
      <c r="E667" s="7">
        <f t="shared" si="10"/>
        <v>747008148.70820463</v>
      </c>
      <c r="F667" s="7">
        <v>61523331.561084293</v>
      </c>
      <c r="G667" s="7"/>
      <c r="H667" s="7"/>
      <c r="I667" s="7">
        <v>61523331.561084293</v>
      </c>
      <c r="J667" s="6">
        <v>7.6332981912527629</v>
      </c>
      <c r="K667" s="7">
        <v>1078.9388524636779</v>
      </c>
      <c r="L667" s="7">
        <v>9549933</v>
      </c>
      <c r="M667" s="6">
        <v>45.2424854</v>
      </c>
      <c r="N667" s="6">
        <v>44.0967372</v>
      </c>
      <c r="O667" s="6">
        <v>59.549039899999997</v>
      </c>
      <c r="P667" s="6">
        <v>45.516578600000003</v>
      </c>
      <c r="Q667" s="6">
        <v>45.178235600000001</v>
      </c>
      <c r="R667" s="6">
        <v>39.411107100000002</v>
      </c>
      <c r="S667" s="5">
        <v>0</v>
      </c>
      <c r="T667" s="5">
        <v>0</v>
      </c>
      <c r="U667" s="5">
        <v>0</v>
      </c>
    </row>
    <row r="668" spans="1:21" x14ac:dyDescent="0.3">
      <c r="A668" s="2" t="s">
        <v>72</v>
      </c>
      <c r="B668" s="2">
        <v>2008</v>
      </c>
      <c r="C668" s="2" t="s">
        <v>73</v>
      </c>
      <c r="D668" s="8">
        <v>975.953442</v>
      </c>
      <c r="E668" s="4">
        <f t="shared" si="10"/>
        <v>858057561.37482882</v>
      </c>
      <c r="F668" s="4">
        <v>2193614.19143407</v>
      </c>
      <c r="G668" s="4">
        <v>167310.49535154199</v>
      </c>
      <c r="H668" s="4"/>
      <c r="I668" s="4">
        <v>2360924.6867856118</v>
      </c>
      <c r="J668" s="3">
        <v>11.16124732473234</v>
      </c>
      <c r="K668" s="4">
        <v>1190.757579833205</v>
      </c>
      <c r="L668" s="4">
        <v>9804269</v>
      </c>
      <c r="M668" s="3">
        <v>48.784092000000001</v>
      </c>
      <c r="N668" s="3">
        <v>46.583953999999999</v>
      </c>
      <c r="O668" s="3">
        <v>61.646137799999998</v>
      </c>
      <c r="P668" s="3">
        <v>48.207364299999988</v>
      </c>
      <c r="Q668" s="3">
        <v>47.299217300000002</v>
      </c>
      <c r="R668" s="3">
        <v>39.413711399999997</v>
      </c>
      <c r="S668" s="2">
        <v>0</v>
      </c>
      <c r="T668" s="2">
        <v>0</v>
      </c>
      <c r="U668" s="2">
        <v>0</v>
      </c>
    </row>
    <row r="669" spans="1:21" x14ac:dyDescent="0.3">
      <c r="A669" s="5" t="s">
        <v>72</v>
      </c>
      <c r="B669" s="5">
        <v>2009</v>
      </c>
      <c r="C669" s="5" t="s">
        <v>73</v>
      </c>
      <c r="D669" s="9">
        <v>1058.476913</v>
      </c>
      <c r="E669" s="7">
        <f t="shared" si="10"/>
        <v>930612137.47974753</v>
      </c>
      <c r="F669" s="7">
        <v>48255610.236397833</v>
      </c>
      <c r="G669" s="7">
        <v>75100502.413739607</v>
      </c>
      <c r="H669" s="7"/>
      <c r="I669" s="7">
        <v>123356112.65013739</v>
      </c>
      <c r="J669" s="6">
        <v>6.2482575062050776</v>
      </c>
      <c r="K669" s="7">
        <v>1240.5497263138541</v>
      </c>
      <c r="L669" s="7">
        <v>10060432</v>
      </c>
      <c r="M669" s="6">
        <v>48.5136246</v>
      </c>
      <c r="N669" s="6">
        <v>46.762871999999987</v>
      </c>
      <c r="O669" s="6">
        <v>62.147218000000002</v>
      </c>
      <c r="P669" s="6">
        <v>48.5960021</v>
      </c>
      <c r="Q669" s="6">
        <v>46.2222455</v>
      </c>
      <c r="R669" s="6">
        <v>38.925766500000002</v>
      </c>
      <c r="S669" s="5">
        <v>1</v>
      </c>
      <c r="T669" s="5">
        <v>2</v>
      </c>
      <c r="U669" s="5">
        <v>1</v>
      </c>
    </row>
    <row r="670" spans="1:21" x14ac:dyDescent="0.3">
      <c r="A670" s="2" t="s">
        <v>72</v>
      </c>
      <c r="B670" s="2">
        <v>2010</v>
      </c>
      <c r="C670" s="2" t="s">
        <v>73</v>
      </c>
      <c r="D670" s="8">
        <v>1178.91633</v>
      </c>
      <c r="E670" s="4">
        <f t="shared" si="10"/>
        <v>1036502385.925048</v>
      </c>
      <c r="F670" s="4">
        <v>2057480.16946535</v>
      </c>
      <c r="G670" s="4"/>
      <c r="H670" s="4"/>
      <c r="I670" s="4">
        <v>2057480.16946535</v>
      </c>
      <c r="J670" s="3">
        <v>7.3346564500675271</v>
      </c>
      <c r="K670" s="4">
        <v>1314.135594943242</v>
      </c>
      <c r="L670" s="4">
        <v>10317553</v>
      </c>
      <c r="M670" s="3">
        <v>53.478514799999999</v>
      </c>
      <c r="N670" s="3">
        <v>48.755808299999998</v>
      </c>
      <c r="O670" s="3">
        <v>62.155936399999987</v>
      </c>
      <c r="P670" s="3">
        <v>50.403208199999987</v>
      </c>
      <c r="Q670" s="3">
        <v>49.041296699999997</v>
      </c>
      <c r="R670" s="3">
        <v>38.170094800000001</v>
      </c>
      <c r="S670" s="2">
        <v>1</v>
      </c>
      <c r="T670" s="2">
        <v>1</v>
      </c>
      <c r="U670" s="2">
        <v>0</v>
      </c>
    </row>
    <row r="671" spans="1:21" x14ac:dyDescent="0.3">
      <c r="A671" s="5" t="s">
        <v>72</v>
      </c>
      <c r="B671" s="5">
        <v>2011</v>
      </c>
      <c r="C671" s="5" t="s">
        <v>73</v>
      </c>
      <c r="D671" s="9">
        <v>1388.557701</v>
      </c>
      <c r="E671" s="7">
        <f t="shared" si="10"/>
        <v>1220818927.9056804</v>
      </c>
      <c r="F671" s="7">
        <v>0</v>
      </c>
      <c r="G671" s="7"/>
      <c r="H671" s="7"/>
      <c r="I671" s="7">
        <v>0</v>
      </c>
      <c r="J671" s="6">
        <v>7.9583886984709409</v>
      </c>
      <c r="K671" s="7">
        <v>1412.907521553185</v>
      </c>
      <c r="L671" s="7">
        <v>10573733</v>
      </c>
      <c r="M671" s="6">
        <v>53.804747599999999</v>
      </c>
      <c r="N671" s="6">
        <v>49.013987899999997</v>
      </c>
      <c r="O671" s="6">
        <v>60.755755899999997</v>
      </c>
      <c r="P671" s="6">
        <v>51.936340100000002</v>
      </c>
      <c r="Q671" s="6">
        <v>49.793065400000003</v>
      </c>
      <c r="R671" s="6">
        <v>38.497816700000001</v>
      </c>
      <c r="S671" s="5">
        <v>1</v>
      </c>
      <c r="T671" s="5">
        <v>1</v>
      </c>
      <c r="U671" s="5">
        <v>0</v>
      </c>
    </row>
    <row r="672" spans="1:21" x14ac:dyDescent="0.3">
      <c r="A672" s="2" t="s">
        <v>72</v>
      </c>
      <c r="B672" s="2">
        <v>2012</v>
      </c>
      <c r="C672" s="2" t="s">
        <v>73</v>
      </c>
      <c r="D672" s="8">
        <v>1003.242694</v>
      </c>
      <c r="E672" s="4">
        <f t="shared" si="10"/>
        <v>882050252.02498698</v>
      </c>
      <c r="F672" s="4">
        <v>184027535.0685285</v>
      </c>
      <c r="G672" s="4"/>
      <c r="H672" s="4">
        <v>21134224.042665198</v>
      </c>
      <c r="I672" s="4">
        <v>205161759.11119369</v>
      </c>
      <c r="J672" s="3">
        <v>8.6415081583632229</v>
      </c>
      <c r="K672" s="4">
        <v>1454.52507891388</v>
      </c>
      <c r="L672" s="4">
        <v>10829901</v>
      </c>
      <c r="M672" s="3">
        <v>56.5006427</v>
      </c>
      <c r="N672" s="3">
        <v>49.591337299999999</v>
      </c>
      <c r="O672" s="3">
        <v>61.481151699999998</v>
      </c>
      <c r="P672" s="3">
        <v>52.408820300000002</v>
      </c>
      <c r="Q672" s="3">
        <v>51.407625600000003</v>
      </c>
      <c r="R672" s="3">
        <v>41.2336727</v>
      </c>
      <c r="S672" s="2">
        <v>1</v>
      </c>
      <c r="T672" s="2">
        <v>1</v>
      </c>
      <c r="U672" s="2">
        <v>0</v>
      </c>
    </row>
    <row r="673" spans="1:21" x14ac:dyDescent="0.3">
      <c r="A673" s="5" t="s">
        <v>72</v>
      </c>
      <c r="B673" s="5">
        <v>2013</v>
      </c>
      <c r="C673" s="5" t="s">
        <v>73</v>
      </c>
      <c r="D673" s="9">
        <v>1185.115898</v>
      </c>
      <c r="E673" s="7">
        <f t="shared" si="10"/>
        <v>1041953041.6333327</v>
      </c>
      <c r="F673" s="7">
        <v>2593022.1346649788</v>
      </c>
      <c r="G673" s="7"/>
      <c r="H673" s="7"/>
      <c r="I673" s="7">
        <v>2593022.1346649788</v>
      </c>
      <c r="J673" s="6">
        <v>4.7198485697826271</v>
      </c>
      <c r="K673" s="7">
        <v>1512.2417125384841</v>
      </c>
      <c r="L673" s="7">
        <v>11093340</v>
      </c>
      <c r="M673" s="6">
        <v>56.514103300000002</v>
      </c>
      <c r="N673" s="6">
        <v>51.160522200000003</v>
      </c>
      <c r="O673" s="6">
        <v>60.616067699999988</v>
      </c>
      <c r="P673" s="6">
        <v>53.727520899999988</v>
      </c>
      <c r="Q673" s="6">
        <v>51.992374699999999</v>
      </c>
      <c r="R673" s="6">
        <v>41.6023067</v>
      </c>
      <c r="S673" s="5">
        <v>0</v>
      </c>
      <c r="T673" s="5">
        <v>0</v>
      </c>
      <c r="U673" s="5">
        <v>0</v>
      </c>
    </row>
    <row r="674" spans="1:21" x14ac:dyDescent="0.3">
      <c r="A674" s="2" t="s">
        <v>72</v>
      </c>
      <c r="B674" s="2">
        <v>2014</v>
      </c>
      <c r="C674" s="2" t="s">
        <v>73</v>
      </c>
      <c r="D674" s="8">
        <v>1126.4723530000001</v>
      </c>
      <c r="E674" s="4">
        <f t="shared" si="10"/>
        <v>990393679.22158051</v>
      </c>
      <c r="F674" s="4">
        <v>51616819.1017479</v>
      </c>
      <c r="G674" s="4"/>
      <c r="H674" s="4"/>
      <c r="I674" s="4">
        <v>51616819.1017479</v>
      </c>
      <c r="J674" s="3">
        <v>6.1671661516693206</v>
      </c>
      <c r="K674" s="4">
        <v>1677.568696841822</v>
      </c>
      <c r="L674" s="4">
        <v>11364757</v>
      </c>
      <c r="M674" s="3">
        <v>57.7655423</v>
      </c>
      <c r="N674" s="3">
        <v>50.556384799999996</v>
      </c>
      <c r="O674" s="3">
        <v>63.729976899999997</v>
      </c>
      <c r="P674" s="3">
        <v>56.7437483</v>
      </c>
      <c r="Q674" s="3">
        <v>53.196884699999998</v>
      </c>
      <c r="R674" s="3">
        <v>42.766516199999998</v>
      </c>
      <c r="S674" s="2">
        <v>0</v>
      </c>
      <c r="T674" s="2">
        <v>0</v>
      </c>
      <c r="U674" s="2">
        <v>0</v>
      </c>
    </row>
    <row r="675" spans="1:21" x14ac:dyDescent="0.3">
      <c r="A675" s="5" t="s">
        <v>72</v>
      </c>
      <c r="B675" s="5">
        <v>2015</v>
      </c>
      <c r="C675" s="5" t="s">
        <v>73</v>
      </c>
      <c r="D675" s="9">
        <v>1330.7974610000001</v>
      </c>
      <c r="E675" s="7">
        <f t="shared" si="10"/>
        <v>1170036166.6120074</v>
      </c>
      <c r="F675" s="7">
        <v>0</v>
      </c>
      <c r="G675" s="7">
        <v>0</v>
      </c>
      <c r="H675" s="7"/>
      <c r="I675" s="7">
        <v>0</v>
      </c>
      <c r="J675" s="6">
        <v>8.8568555974538015</v>
      </c>
      <c r="K675" s="7">
        <v>1780.7417163686321</v>
      </c>
      <c r="L675" s="7">
        <v>11640022</v>
      </c>
      <c r="M675" s="6">
        <v>57.977256599999997</v>
      </c>
      <c r="N675" s="6">
        <v>50.375670100000001</v>
      </c>
      <c r="O675" s="6">
        <v>67.579725499999995</v>
      </c>
      <c r="P675" s="6">
        <v>57.561133699999999</v>
      </c>
      <c r="Q675" s="6">
        <v>54.241120000000002</v>
      </c>
      <c r="R675" s="6">
        <v>42.729699699999998</v>
      </c>
      <c r="S675" s="5">
        <v>0</v>
      </c>
      <c r="T675" s="5">
        <v>0</v>
      </c>
      <c r="U675" s="5">
        <v>0</v>
      </c>
    </row>
    <row r="676" spans="1:21" x14ac:dyDescent="0.3">
      <c r="A676" s="2" t="s">
        <v>72</v>
      </c>
      <c r="B676" s="2">
        <v>2016</v>
      </c>
      <c r="C676" s="2" t="s">
        <v>73</v>
      </c>
      <c r="D676" s="8">
        <v>1425.0288459999999</v>
      </c>
      <c r="E676" s="4">
        <f t="shared" si="10"/>
        <v>1252884332.2502944</v>
      </c>
      <c r="F676" s="4">
        <v>136309633.38622379</v>
      </c>
      <c r="G676" s="4"/>
      <c r="H676" s="4"/>
      <c r="I676" s="4">
        <v>136309633.38622379</v>
      </c>
      <c r="J676" s="3">
        <v>5.9707452543109412</v>
      </c>
      <c r="K676" s="4">
        <v>1866.3896853028559</v>
      </c>
      <c r="L676" s="4">
        <v>11919183</v>
      </c>
      <c r="M676" s="3">
        <v>59.610161400000003</v>
      </c>
      <c r="N676" s="3">
        <v>53.678493600000003</v>
      </c>
      <c r="O676" s="3">
        <v>65.1124437</v>
      </c>
      <c r="P676" s="3">
        <v>57.297161099999997</v>
      </c>
      <c r="Q676" s="3">
        <v>54.842260600000003</v>
      </c>
      <c r="R676" s="3">
        <v>42.503971900000003</v>
      </c>
      <c r="S676" s="2">
        <v>1</v>
      </c>
      <c r="T676" s="2">
        <v>1</v>
      </c>
      <c r="U676" s="2">
        <v>0</v>
      </c>
    </row>
    <row r="677" spans="1:21" x14ac:dyDescent="0.3">
      <c r="A677" s="5" t="s">
        <v>72</v>
      </c>
      <c r="B677" s="5">
        <v>2017</v>
      </c>
      <c r="C677" s="5" t="s">
        <v>73</v>
      </c>
      <c r="D677" s="9">
        <v>1479.7822839999999</v>
      </c>
      <c r="E677" s="7">
        <f t="shared" si="10"/>
        <v>1301023515.397074</v>
      </c>
      <c r="F677" s="7">
        <v>53551458.833078638</v>
      </c>
      <c r="G677" s="7"/>
      <c r="H677" s="7"/>
      <c r="I677" s="7">
        <v>53551458.833078638</v>
      </c>
      <c r="J677" s="6">
        <v>3.9181709362846528</v>
      </c>
      <c r="K677" s="7">
        <v>1967.9428660249889</v>
      </c>
      <c r="L677" s="7">
        <v>12202060</v>
      </c>
      <c r="M677" s="6">
        <v>58.100883799999998</v>
      </c>
      <c r="N677" s="6">
        <v>57.498769099999997</v>
      </c>
      <c r="O677" s="6">
        <v>67.507801700000002</v>
      </c>
      <c r="P677" s="6">
        <v>57.6085268</v>
      </c>
      <c r="Q677" s="6">
        <v>54.578704500000001</v>
      </c>
      <c r="R677" s="6">
        <v>42.884111900000001</v>
      </c>
      <c r="S677" s="5">
        <v>0</v>
      </c>
      <c r="T677" s="5">
        <v>0</v>
      </c>
      <c r="U677" s="5">
        <v>0</v>
      </c>
    </row>
    <row r="678" spans="1:21" x14ac:dyDescent="0.3">
      <c r="A678" s="2" t="s">
        <v>72</v>
      </c>
      <c r="B678" s="2">
        <v>2018</v>
      </c>
      <c r="C678" s="2" t="s">
        <v>73</v>
      </c>
      <c r="D678" s="8">
        <v>1292.0980010000001</v>
      </c>
      <c r="E678" s="4">
        <f t="shared" si="10"/>
        <v>1136011629.3286777</v>
      </c>
      <c r="F678" s="4">
        <v>159302626.20056671</v>
      </c>
      <c r="G678" s="4"/>
      <c r="H678" s="4"/>
      <c r="I678" s="4">
        <v>159302626.20056671</v>
      </c>
      <c r="J678" s="3">
        <v>8.5164672259240888</v>
      </c>
      <c r="K678" s="4">
        <v>2125.495227128391</v>
      </c>
      <c r="L678" s="4">
        <v>12487996</v>
      </c>
      <c r="M678" s="3">
        <v>56.684354900000002</v>
      </c>
      <c r="N678" s="3">
        <v>56.731097800000001</v>
      </c>
      <c r="O678" s="3">
        <v>68.624794899999998</v>
      </c>
      <c r="P678" s="3">
        <v>56.795718299999997</v>
      </c>
      <c r="Q678" s="3">
        <v>54.496456299999998</v>
      </c>
      <c r="R678" s="3">
        <v>44.104292699999988</v>
      </c>
      <c r="S678" s="2">
        <v>0</v>
      </c>
      <c r="T678" s="2">
        <v>0</v>
      </c>
      <c r="U678" s="2">
        <v>0</v>
      </c>
    </row>
    <row r="679" spans="1:21" x14ac:dyDescent="0.3">
      <c r="A679" s="5" t="s">
        <v>72</v>
      </c>
      <c r="B679" s="5">
        <v>2019</v>
      </c>
      <c r="C679" s="5" t="s">
        <v>73</v>
      </c>
      <c r="D679" s="9">
        <v>1375.4251810000001</v>
      </c>
      <c r="E679" s="7">
        <f t="shared" si="10"/>
        <v>1209272825.8059595</v>
      </c>
      <c r="F679" s="7">
        <v>49086004.621548198</v>
      </c>
      <c r="G679" s="7"/>
      <c r="H679" s="7"/>
      <c r="I679" s="7">
        <v>49086004.621548198</v>
      </c>
      <c r="J679" s="6">
        <v>9.4473851861309726</v>
      </c>
      <c r="K679" s="7">
        <v>2336.0396730273192</v>
      </c>
      <c r="L679" s="7">
        <v>12776103</v>
      </c>
      <c r="M679" s="6">
        <v>57.0042683</v>
      </c>
      <c r="N679" s="6">
        <v>55.792221899999987</v>
      </c>
      <c r="O679" s="6">
        <v>67.971635499999991</v>
      </c>
      <c r="P679" s="6">
        <v>56.5891947</v>
      </c>
      <c r="Q679" s="6">
        <v>54.5454018</v>
      </c>
      <c r="R679" s="6">
        <v>44.552293400000003</v>
      </c>
      <c r="S679" s="5">
        <v>1</v>
      </c>
      <c r="T679" s="5">
        <v>1</v>
      </c>
      <c r="U679" s="5">
        <v>0</v>
      </c>
    </row>
    <row r="680" spans="1:21" x14ac:dyDescent="0.3">
      <c r="A680" s="2" t="s">
        <v>72</v>
      </c>
      <c r="B680" s="2">
        <v>2020</v>
      </c>
      <c r="C680" s="2" t="s">
        <v>73</v>
      </c>
      <c r="D680" s="8">
        <v>1871.3082870000001</v>
      </c>
      <c r="E680" s="4">
        <f t="shared" si="10"/>
        <v>1645252894.4753988</v>
      </c>
      <c r="F680" s="4">
        <v>256347212.89756349</v>
      </c>
      <c r="G680" s="4"/>
      <c r="H680" s="4"/>
      <c r="I680" s="4">
        <v>256347212.89756349</v>
      </c>
      <c r="J680" s="3">
        <v>-3.37368746369782</v>
      </c>
      <c r="K680" s="4">
        <v>2284.898897953281</v>
      </c>
      <c r="L680" s="4">
        <v>13065837</v>
      </c>
      <c r="M680" s="3">
        <v>58.2481571</v>
      </c>
      <c r="N680" s="3">
        <v>56.4078546</v>
      </c>
      <c r="O680" s="3">
        <v>68.628906399999991</v>
      </c>
      <c r="P680" s="3">
        <v>56.778569999999988</v>
      </c>
      <c r="Q680" s="3">
        <v>56.422791799999999</v>
      </c>
      <c r="R680" s="3">
        <v>44.401182200000001</v>
      </c>
      <c r="S680" s="2">
        <v>1</v>
      </c>
      <c r="T680" s="2">
        <v>1</v>
      </c>
      <c r="U680" s="2">
        <v>0</v>
      </c>
    </row>
    <row r="681" spans="1:21" x14ac:dyDescent="0.3">
      <c r="A681" s="5" t="s">
        <v>72</v>
      </c>
      <c r="B681" s="5">
        <v>2021</v>
      </c>
      <c r="C681" s="5" t="s">
        <v>73</v>
      </c>
      <c r="D681" s="9">
        <v>1440.481548</v>
      </c>
      <c r="E681" s="7">
        <f t="shared" si="10"/>
        <v>1266470336.6887848</v>
      </c>
      <c r="F681" s="7">
        <v>15254440.904227469</v>
      </c>
      <c r="G681" s="7"/>
      <c r="H681" s="7"/>
      <c r="I681" s="7">
        <v>15254440.904227469</v>
      </c>
      <c r="J681" s="6">
        <v>10.85843201848955</v>
      </c>
      <c r="K681" s="7">
        <v>2733.435667624472</v>
      </c>
      <c r="L681" s="7">
        <v>13355260</v>
      </c>
      <c r="M681" s="6">
        <v>57.358211699999998</v>
      </c>
      <c r="N681" s="6">
        <v>55.429233199999999</v>
      </c>
      <c r="O681" s="6">
        <v>67.862757299999998</v>
      </c>
      <c r="P681" s="6">
        <v>57.418452799999997</v>
      </c>
      <c r="Q681" s="6">
        <v>57.292279999999998</v>
      </c>
      <c r="R681" s="6">
        <v>47.428528200000002</v>
      </c>
      <c r="S681" s="5">
        <v>0</v>
      </c>
      <c r="T681" s="5">
        <v>0</v>
      </c>
      <c r="U681" s="5">
        <v>0</v>
      </c>
    </row>
    <row r="682" spans="1:21" x14ac:dyDescent="0.3">
      <c r="A682" s="5" t="s">
        <v>74</v>
      </c>
      <c r="B682" s="5">
        <v>2002</v>
      </c>
      <c r="C682" s="5" t="s">
        <v>75</v>
      </c>
      <c r="D682" s="9">
        <v>40.642802000000003</v>
      </c>
      <c r="E682" s="7">
        <f t="shared" si="10"/>
        <v>35733122.166251883</v>
      </c>
      <c r="F682" s="7"/>
      <c r="G682" s="7"/>
      <c r="H682" s="7"/>
      <c r="I682" s="7"/>
      <c r="J682" s="6">
        <v>3.360188168221995</v>
      </c>
      <c r="K682" s="7">
        <v>1944.9983848203599</v>
      </c>
      <c r="L682" s="7">
        <v>149922</v>
      </c>
      <c r="M682" s="6">
        <v>52.116656300000002</v>
      </c>
      <c r="N682" s="6">
        <v>35.874158600000001</v>
      </c>
      <c r="O682" s="6">
        <v>73.622452600000003</v>
      </c>
      <c r="P682" s="6">
        <v>50.024206799999988</v>
      </c>
      <c r="Q682" s="6">
        <v>53.909266700000003</v>
      </c>
      <c r="R682" s="6">
        <v>64.303456699999998</v>
      </c>
      <c r="S682" s="5">
        <v>0</v>
      </c>
      <c r="T682" s="5">
        <v>0</v>
      </c>
      <c r="U682" s="5">
        <v>0</v>
      </c>
    </row>
    <row r="683" spans="1:21" x14ac:dyDescent="0.3">
      <c r="A683" s="2" t="s">
        <v>74</v>
      </c>
      <c r="B683" s="2">
        <v>2003</v>
      </c>
      <c r="C683" s="2" t="s">
        <v>75</v>
      </c>
      <c r="D683" s="8">
        <v>49.690382999999997</v>
      </c>
      <c r="E683" s="4">
        <f t="shared" si="10"/>
        <v>43687748.847307459</v>
      </c>
      <c r="F683" s="4"/>
      <c r="G683" s="4"/>
      <c r="H683" s="4"/>
      <c r="I683" s="4"/>
      <c r="J683" s="3">
        <v>8.2915194611981775</v>
      </c>
      <c r="K683" s="4">
        <v>2093.504933783207</v>
      </c>
      <c r="L683" s="4">
        <v>153814</v>
      </c>
      <c r="M683" s="3">
        <v>46.191957100000003</v>
      </c>
      <c r="N683" s="3">
        <v>35.624260200000002</v>
      </c>
      <c r="O683" s="3">
        <v>68.4314909</v>
      </c>
      <c r="P683" s="3">
        <v>47.224558799999997</v>
      </c>
      <c r="Q683" s="3">
        <v>54.079248199999988</v>
      </c>
      <c r="R683" s="3">
        <v>61.622574200000003</v>
      </c>
      <c r="S683" s="2">
        <v>0</v>
      </c>
      <c r="T683" s="2">
        <v>0</v>
      </c>
      <c r="U683" s="2">
        <v>0</v>
      </c>
    </row>
    <row r="684" spans="1:21" x14ac:dyDescent="0.3">
      <c r="A684" s="5" t="s">
        <v>74</v>
      </c>
      <c r="B684" s="5">
        <v>2004</v>
      </c>
      <c r="C684" s="5" t="s">
        <v>75</v>
      </c>
      <c r="D684" s="9">
        <v>47.117652999999997</v>
      </c>
      <c r="E684" s="7">
        <f t="shared" si="10"/>
        <v>41425806.489327773</v>
      </c>
      <c r="F684" s="7"/>
      <c r="G684" s="7"/>
      <c r="H684" s="7"/>
      <c r="I684" s="7"/>
      <c r="J684" s="6">
        <v>3.5379059435684042</v>
      </c>
      <c r="K684" s="7">
        <v>2170.941219148976</v>
      </c>
      <c r="L684" s="7">
        <v>157705</v>
      </c>
      <c r="M684" s="6">
        <v>41.319949299999998</v>
      </c>
      <c r="N684" s="6">
        <v>35.295230400000001</v>
      </c>
      <c r="O684" s="6">
        <v>71.634378099999992</v>
      </c>
      <c r="P684" s="6">
        <v>39.644974900000001</v>
      </c>
      <c r="Q684" s="6">
        <v>49.027400800000002</v>
      </c>
      <c r="R684" s="6">
        <v>60.843144600000002</v>
      </c>
      <c r="S684" s="5">
        <v>0</v>
      </c>
      <c r="T684" s="5">
        <v>0</v>
      </c>
      <c r="U684" s="5">
        <v>0</v>
      </c>
    </row>
    <row r="685" spans="1:21" x14ac:dyDescent="0.3">
      <c r="A685" s="2" t="s">
        <v>74</v>
      </c>
      <c r="B685" s="2">
        <v>2005</v>
      </c>
      <c r="C685" s="2" t="s">
        <v>75</v>
      </c>
      <c r="D685" s="8">
        <v>43.669162</v>
      </c>
      <c r="E685" s="4">
        <f t="shared" si="10"/>
        <v>38393895.692620903</v>
      </c>
      <c r="F685" s="4"/>
      <c r="G685" s="4"/>
      <c r="H685" s="4"/>
      <c r="I685" s="4"/>
      <c r="J685" s="3">
        <v>6.6146247503359916</v>
      </c>
      <c r="K685" s="4">
        <v>2329.0142301727719</v>
      </c>
      <c r="L685" s="4">
        <v>161639</v>
      </c>
      <c r="M685" s="3">
        <v>39.410694800000002</v>
      </c>
      <c r="N685" s="3">
        <v>33.570090899999997</v>
      </c>
      <c r="O685" s="3">
        <v>74.321440299999992</v>
      </c>
      <c r="P685" s="3">
        <v>42.3878883</v>
      </c>
      <c r="Q685" s="3">
        <v>49.802267999999998</v>
      </c>
      <c r="R685" s="3">
        <v>60.129835900000003</v>
      </c>
      <c r="S685" s="2">
        <v>0</v>
      </c>
      <c r="T685" s="2">
        <v>0</v>
      </c>
      <c r="U685" s="2">
        <v>0</v>
      </c>
    </row>
    <row r="686" spans="1:21" x14ac:dyDescent="0.3">
      <c r="A686" s="5" t="s">
        <v>74</v>
      </c>
      <c r="B686" s="5">
        <v>2006</v>
      </c>
      <c r="C686" s="5" t="s">
        <v>75</v>
      </c>
      <c r="D686" s="9">
        <v>40.042391000000002</v>
      </c>
      <c r="E686" s="7">
        <f t="shared" si="10"/>
        <v>35205241.248667471</v>
      </c>
      <c r="F686" s="7"/>
      <c r="G686" s="7"/>
      <c r="H686" s="7"/>
      <c r="I686" s="7"/>
      <c r="J686" s="6">
        <v>8.8661093594402587</v>
      </c>
      <c r="K686" s="7">
        <v>2550.5955399821278</v>
      </c>
      <c r="L686" s="7">
        <v>165638</v>
      </c>
      <c r="M686" s="6">
        <v>38.560447199999999</v>
      </c>
      <c r="N686" s="6">
        <v>31.527360399999999</v>
      </c>
      <c r="O686" s="6">
        <v>72.82020159999999</v>
      </c>
      <c r="P686" s="6">
        <v>43.236069000000001</v>
      </c>
      <c r="Q686" s="6">
        <v>49.751258900000003</v>
      </c>
      <c r="R686" s="6">
        <v>61.678802699999999</v>
      </c>
      <c r="S686" s="5">
        <v>0</v>
      </c>
      <c r="T686" s="5">
        <v>0</v>
      </c>
      <c r="U686" s="5">
        <v>0</v>
      </c>
    </row>
    <row r="687" spans="1:21" x14ac:dyDescent="0.3">
      <c r="A687" s="2" t="s">
        <v>74</v>
      </c>
      <c r="B687" s="2">
        <v>2007</v>
      </c>
      <c r="C687" s="2" t="s">
        <v>75</v>
      </c>
      <c r="D687" s="8">
        <v>190.24888000000001</v>
      </c>
      <c r="E687" s="4">
        <f t="shared" ref="E687:E750" si="11">(D687*0.879199277802054)*1000000</f>
        <v>167266677.89864963</v>
      </c>
      <c r="F687" s="4"/>
      <c r="G687" s="4"/>
      <c r="H687" s="4"/>
      <c r="I687" s="4"/>
      <c r="J687" s="3">
        <v>3.641471851660242</v>
      </c>
      <c r="K687" s="4">
        <v>2650.1038762996018</v>
      </c>
      <c r="L687" s="4">
        <v>169700</v>
      </c>
      <c r="M687" s="3">
        <v>40.2412475</v>
      </c>
      <c r="N687" s="3">
        <v>34.145274100000002</v>
      </c>
      <c r="O687" s="3">
        <v>73.950142599999992</v>
      </c>
      <c r="P687" s="3">
        <v>42.470095299999997</v>
      </c>
      <c r="Q687" s="3">
        <v>50.687861899999987</v>
      </c>
      <c r="R687" s="3">
        <v>59.556676699999997</v>
      </c>
      <c r="S687" s="2">
        <v>0</v>
      </c>
      <c r="T687" s="2">
        <v>0</v>
      </c>
      <c r="U687" s="2">
        <v>0</v>
      </c>
    </row>
    <row r="688" spans="1:21" x14ac:dyDescent="0.3">
      <c r="A688" s="5" t="s">
        <v>74</v>
      </c>
      <c r="B688" s="5">
        <v>2008</v>
      </c>
      <c r="C688" s="5" t="s">
        <v>75</v>
      </c>
      <c r="D688" s="9">
        <v>64.730058</v>
      </c>
      <c r="E688" s="7">
        <f t="shared" si="11"/>
        <v>56910620.245685063</v>
      </c>
      <c r="F688" s="7"/>
      <c r="G688" s="7"/>
      <c r="H688" s="7"/>
      <c r="I688" s="7"/>
      <c r="J688" s="6">
        <v>6.228785069610197</v>
      </c>
      <c r="K688" s="7">
        <v>2801.8357934087421</v>
      </c>
      <c r="L688" s="7">
        <v>173793</v>
      </c>
      <c r="M688" s="6">
        <v>41.9584239</v>
      </c>
      <c r="N688" s="6">
        <v>36.148488499999999</v>
      </c>
      <c r="O688" s="6">
        <v>72.124298899999999</v>
      </c>
      <c r="P688" s="6">
        <v>42.9673193</v>
      </c>
      <c r="Q688" s="6">
        <v>49.995791999999987</v>
      </c>
      <c r="R688" s="6">
        <v>58.5406537</v>
      </c>
      <c r="S688" s="5">
        <v>0</v>
      </c>
      <c r="T688" s="5">
        <v>0</v>
      </c>
      <c r="U688" s="5">
        <v>0</v>
      </c>
    </row>
    <row r="689" spans="1:21" x14ac:dyDescent="0.3">
      <c r="A689" s="2" t="s">
        <v>74</v>
      </c>
      <c r="B689" s="2">
        <v>2009</v>
      </c>
      <c r="C689" s="2" t="s">
        <v>75</v>
      </c>
      <c r="D689" s="8">
        <v>30.172267000000002</v>
      </c>
      <c r="E689" s="4">
        <f t="shared" si="11"/>
        <v>26527435.356050748</v>
      </c>
      <c r="F689" s="4"/>
      <c r="G689" s="4"/>
      <c r="H689" s="4"/>
      <c r="I689" s="4"/>
      <c r="J689" s="3">
        <v>3.302399666450611</v>
      </c>
      <c r="K689" s="4">
        <v>2845.7358938323118</v>
      </c>
      <c r="L689" s="4">
        <v>177853</v>
      </c>
      <c r="M689" s="3">
        <v>42.9845118</v>
      </c>
      <c r="N689" s="3">
        <v>36.222255199999999</v>
      </c>
      <c r="O689" s="3">
        <v>74.052058299999999</v>
      </c>
      <c r="P689" s="3">
        <v>42.612754099999997</v>
      </c>
      <c r="Q689" s="3">
        <v>47.330812700000003</v>
      </c>
      <c r="R689" s="3">
        <v>59.131920999999998</v>
      </c>
      <c r="S689" s="2">
        <v>0</v>
      </c>
      <c r="T689" s="2">
        <v>0</v>
      </c>
      <c r="U689" s="2">
        <v>0</v>
      </c>
    </row>
    <row r="690" spans="1:21" x14ac:dyDescent="0.3">
      <c r="A690" s="5" t="s">
        <v>74</v>
      </c>
      <c r="B690" s="5">
        <v>2010</v>
      </c>
      <c r="C690" s="5" t="s">
        <v>75</v>
      </c>
      <c r="D690" s="9">
        <v>52.155468999999997</v>
      </c>
      <c r="E690" s="7">
        <f t="shared" si="11"/>
        <v>45855050.678227417</v>
      </c>
      <c r="F690" s="7"/>
      <c r="G690" s="7"/>
      <c r="H690" s="7"/>
      <c r="I690" s="7"/>
      <c r="J690" s="6">
        <v>1.4484552289063539</v>
      </c>
      <c r="K690" s="7">
        <v>2858.5689909276939</v>
      </c>
      <c r="L690" s="7">
        <v>181802</v>
      </c>
      <c r="M690" s="6">
        <v>43.300747399999999</v>
      </c>
      <c r="N690" s="6">
        <v>35.458894600000001</v>
      </c>
      <c r="O690" s="6">
        <v>72.231190400000003</v>
      </c>
      <c r="P690" s="6">
        <v>42.347718499999999</v>
      </c>
      <c r="Q690" s="6">
        <v>48.575034700000003</v>
      </c>
      <c r="R690" s="6">
        <v>59.421037599999998</v>
      </c>
      <c r="S690" s="5">
        <v>0</v>
      </c>
      <c r="T690" s="5">
        <v>0</v>
      </c>
      <c r="U690" s="5">
        <v>0</v>
      </c>
    </row>
    <row r="691" spans="1:21" x14ac:dyDescent="0.3">
      <c r="A691" s="2" t="s">
        <v>74</v>
      </c>
      <c r="B691" s="2">
        <v>2011</v>
      </c>
      <c r="C691" s="2" t="s">
        <v>75</v>
      </c>
      <c r="D691" s="8">
        <v>75.235448000000005</v>
      </c>
      <c r="E691" s="4">
        <f t="shared" si="11"/>
        <v>66146951.546713993</v>
      </c>
      <c r="F691" s="4"/>
      <c r="G691" s="4"/>
      <c r="H691" s="4"/>
      <c r="I691" s="4"/>
      <c r="J691" s="3">
        <v>1.999432103332595</v>
      </c>
      <c r="K691" s="4">
        <v>2914.2128569522238</v>
      </c>
      <c r="L691" s="4">
        <v>185649</v>
      </c>
      <c r="M691" s="3">
        <v>44.656227800000003</v>
      </c>
      <c r="N691" s="3">
        <v>36.845469100000003</v>
      </c>
      <c r="O691" s="3">
        <v>70.821546699999999</v>
      </c>
      <c r="P691" s="3">
        <v>43.682288300000003</v>
      </c>
      <c r="Q691" s="3">
        <v>48.562080199999997</v>
      </c>
      <c r="R691" s="3">
        <v>61.435864600000002</v>
      </c>
      <c r="S691" s="2">
        <v>0</v>
      </c>
      <c r="T691" s="2">
        <v>0</v>
      </c>
      <c r="U691" s="2">
        <v>0</v>
      </c>
    </row>
    <row r="692" spans="1:21" x14ac:dyDescent="0.3">
      <c r="A692" s="5" t="s">
        <v>74</v>
      </c>
      <c r="B692" s="5">
        <v>2012</v>
      </c>
      <c r="C692" s="5" t="s">
        <v>75</v>
      </c>
      <c r="D692" s="9">
        <v>53.439478999999999</v>
      </c>
      <c r="E692" s="7">
        <f t="shared" si="11"/>
        <v>46983951.342918023</v>
      </c>
      <c r="F692" s="7"/>
      <c r="G692" s="7"/>
      <c r="H692" s="7"/>
      <c r="I692" s="7"/>
      <c r="J692" s="6">
        <v>2.9429427741602301</v>
      </c>
      <c r="K692" s="7">
        <v>2652.8787947895771</v>
      </c>
      <c r="L692" s="7">
        <v>189439</v>
      </c>
      <c r="M692" s="6">
        <v>44.632225400000003</v>
      </c>
      <c r="N692" s="6">
        <v>36.081040999999999</v>
      </c>
      <c r="O692" s="6">
        <v>70.814582599999994</v>
      </c>
      <c r="P692" s="6">
        <v>43.240586</v>
      </c>
      <c r="Q692" s="6">
        <v>47.011858799999999</v>
      </c>
      <c r="R692" s="6">
        <v>61.623867599999997</v>
      </c>
      <c r="S692" s="5">
        <v>0</v>
      </c>
      <c r="T692" s="5">
        <v>0</v>
      </c>
      <c r="U692" s="5">
        <v>0</v>
      </c>
    </row>
    <row r="693" spans="1:21" x14ac:dyDescent="0.3">
      <c r="A693" s="2" t="s">
        <v>74</v>
      </c>
      <c r="B693" s="2">
        <v>2013</v>
      </c>
      <c r="C693" s="2" t="s">
        <v>75</v>
      </c>
      <c r="D693" s="8">
        <v>57.900458</v>
      </c>
      <c r="E693" s="4">
        <f t="shared" si="11"/>
        <v>50906040.858008161</v>
      </c>
      <c r="F693" s="4"/>
      <c r="G693" s="4"/>
      <c r="H693" s="4"/>
      <c r="I693" s="4"/>
      <c r="J693" s="3">
        <v>5.1196773542851304</v>
      </c>
      <c r="K693" s="4">
        <v>2945.7366428374389</v>
      </c>
      <c r="L693" s="4">
        <v>193148</v>
      </c>
      <c r="M693" s="3">
        <v>43.932876299999997</v>
      </c>
      <c r="N693" s="3">
        <v>34.935271100000001</v>
      </c>
      <c r="O693" s="3">
        <v>72.610776099999995</v>
      </c>
      <c r="P693" s="3">
        <v>41.413531599999999</v>
      </c>
      <c r="Q693" s="3">
        <v>45.494499500000003</v>
      </c>
      <c r="R693" s="3">
        <v>59.740379300000001</v>
      </c>
      <c r="S693" s="2">
        <v>0</v>
      </c>
      <c r="T693" s="2">
        <v>0</v>
      </c>
      <c r="U693" s="2">
        <v>0</v>
      </c>
    </row>
    <row r="694" spans="1:21" x14ac:dyDescent="0.3">
      <c r="A694" s="5" t="s">
        <v>74</v>
      </c>
      <c r="B694" s="5">
        <v>2014</v>
      </c>
      <c r="C694" s="5" t="s">
        <v>75</v>
      </c>
      <c r="D694" s="9">
        <v>45.060667000000002</v>
      </c>
      <c r="E694" s="7">
        <f t="shared" si="11"/>
        <v>39617305.883678846</v>
      </c>
      <c r="F694" s="7"/>
      <c r="G694" s="7"/>
      <c r="H694" s="7"/>
      <c r="I694" s="7"/>
      <c r="J694" s="6">
        <v>4.9062104866486749</v>
      </c>
      <c r="K694" s="7">
        <v>3233.356880731405</v>
      </c>
      <c r="L694" s="7">
        <v>196767</v>
      </c>
      <c r="M694" s="6">
        <v>46.221550200000003</v>
      </c>
      <c r="N694" s="6">
        <v>37.054072300000001</v>
      </c>
      <c r="O694" s="6">
        <v>74.079836399999991</v>
      </c>
      <c r="P694" s="6">
        <v>42.301632900000001</v>
      </c>
      <c r="Q694" s="6">
        <v>46.006426699999999</v>
      </c>
      <c r="R694" s="6">
        <v>60.694742699999999</v>
      </c>
      <c r="S694" s="5">
        <v>0</v>
      </c>
      <c r="T694" s="5">
        <v>0</v>
      </c>
      <c r="U694" s="5">
        <v>0</v>
      </c>
    </row>
    <row r="695" spans="1:21" x14ac:dyDescent="0.3">
      <c r="A695" s="2" t="s">
        <v>74</v>
      </c>
      <c r="B695" s="2">
        <v>2015</v>
      </c>
      <c r="C695" s="2" t="s">
        <v>75</v>
      </c>
      <c r="D695" s="8">
        <v>65.828607000000005</v>
      </c>
      <c r="E695" s="4">
        <f t="shared" si="11"/>
        <v>57876463.733115233</v>
      </c>
      <c r="F695" s="4"/>
      <c r="G695" s="4"/>
      <c r="H695" s="4"/>
      <c r="I695" s="4"/>
      <c r="J695" s="3">
        <v>1.539704282673497</v>
      </c>
      <c r="K695" s="4">
        <v>3171.5090583274141</v>
      </c>
      <c r="L695" s="4">
        <v>200291</v>
      </c>
      <c r="M695" s="3">
        <v>46.240180500000001</v>
      </c>
      <c r="N695" s="3">
        <v>38.541868399999998</v>
      </c>
      <c r="O695" s="3">
        <v>72.372019699999996</v>
      </c>
      <c r="P695" s="3">
        <v>43.018527499999998</v>
      </c>
      <c r="Q695" s="3">
        <v>46.926115000000003</v>
      </c>
      <c r="R695" s="3">
        <v>60.109879599999999</v>
      </c>
      <c r="S695" s="2">
        <v>0</v>
      </c>
      <c r="T695" s="2">
        <v>0</v>
      </c>
      <c r="U695" s="2">
        <v>0</v>
      </c>
    </row>
    <row r="696" spans="1:21" x14ac:dyDescent="0.3">
      <c r="A696" s="5" t="s">
        <v>74</v>
      </c>
      <c r="B696" s="5">
        <v>2016</v>
      </c>
      <c r="C696" s="5" t="s">
        <v>75</v>
      </c>
      <c r="D696" s="9">
        <v>59.728358999999998</v>
      </c>
      <c r="E696" s="7">
        <f t="shared" si="11"/>
        <v>52513130.097101808</v>
      </c>
      <c r="F696" s="7"/>
      <c r="G696" s="7"/>
      <c r="H696" s="7"/>
      <c r="I696" s="7"/>
      <c r="J696" s="6">
        <v>5.1768246868411296</v>
      </c>
      <c r="K696" s="7">
        <v>3319.5426173327751</v>
      </c>
      <c r="L696" s="7">
        <v>203689</v>
      </c>
      <c r="M696" s="6">
        <v>45.488296599999998</v>
      </c>
      <c r="N696" s="6">
        <v>39.741267000000001</v>
      </c>
      <c r="O696" s="6">
        <v>70.407106099999993</v>
      </c>
      <c r="P696" s="6">
        <v>43.3392141</v>
      </c>
      <c r="Q696" s="6">
        <v>48.260089099999988</v>
      </c>
      <c r="R696" s="6">
        <v>58.868111199999987</v>
      </c>
      <c r="S696" s="5">
        <v>0</v>
      </c>
      <c r="T696" s="5">
        <v>0</v>
      </c>
      <c r="U696" s="5">
        <v>0</v>
      </c>
    </row>
    <row r="697" spans="1:21" x14ac:dyDescent="0.3">
      <c r="A697" s="2" t="s">
        <v>74</v>
      </c>
      <c r="B697" s="2">
        <v>2017</v>
      </c>
      <c r="C697" s="2" t="s">
        <v>75</v>
      </c>
      <c r="D697" s="8">
        <v>52.859932000000001</v>
      </c>
      <c r="E697" s="4">
        <f t="shared" si="11"/>
        <v>46474414.039065689</v>
      </c>
      <c r="F697" s="4">
        <v>34915846.157735467</v>
      </c>
      <c r="G697" s="4"/>
      <c r="H697" s="4"/>
      <c r="I697" s="4">
        <v>34915846.157735467</v>
      </c>
      <c r="J697" s="3">
        <v>4.1129796628195407</v>
      </c>
      <c r="K697" s="4">
        <v>3436.3101012469351</v>
      </c>
      <c r="L697" s="4">
        <v>206970</v>
      </c>
      <c r="M697" s="3">
        <v>49.800613800000001</v>
      </c>
      <c r="N697" s="3">
        <v>40.729223500000003</v>
      </c>
      <c r="O697" s="3">
        <v>69.558408499999999</v>
      </c>
      <c r="P697" s="3">
        <v>42.735619799999988</v>
      </c>
      <c r="Q697" s="3">
        <v>48.373650499999997</v>
      </c>
      <c r="R697" s="3">
        <v>58.864967800000002</v>
      </c>
      <c r="S697" s="2">
        <v>0</v>
      </c>
      <c r="T697" s="2">
        <v>0</v>
      </c>
      <c r="U697" s="2">
        <v>0</v>
      </c>
    </row>
    <row r="698" spans="1:21" x14ac:dyDescent="0.3">
      <c r="A698" s="5" t="s">
        <v>74</v>
      </c>
      <c r="B698" s="5">
        <v>2018</v>
      </c>
      <c r="C698" s="5" t="s">
        <v>75</v>
      </c>
      <c r="D698" s="9">
        <v>61.527723999999999</v>
      </c>
      <c r="E698" s="7">
        <f t="shared" si="11"/>
        <v>54095130.505604103</v>
      </c>
      <c r="F698" s="7">
        <v>61100414.626894198</v>
      </c>
      <c r="G698" s="7">
        <v>0</v>
      </c>
      <c r="H698" s="7"/>
      <c r="I698" s="7">
        <v>61100414.626894198</v>
      </c>
      <c r="J698" s="6">
        <v>4.3781280826497238</v>
      </c>
      <c r="K698" s="7">
        <v>3941.0328085840938</v>
      </c>
      <c r="L698" s="7">
        <v>210187</v>
      </c>
      <c r="M698" s="6">
        <v>51.0235871</v>
      </c>
      <c r="N698" s="6">
        <v>43.927832799999997</v>
      </c>
      <c r="O698" s="6">
        <v>73.864690199999998</v>
      </c>
      <c r="P698" s="6">
        <v>41.797160300000002</v>
      </c>
      <c r="Q698" s="6">
        <v>48.445517199999998</v>
      </c>
      <c r="R698" s="6">
        <v>59.598115499999999</v>
      </c>
      <c r="S698" s="5">
        <v>0</v>
      </c>
      <c r="T698" s="5">
        <v>0</v>
      </c>
      <c r="U698" s="5">
        <v>0</v>
      </c>
    </row>
    <row r="699" spans="1:21" x14ac:dyDescent="0.3">
      <c r="A699" s="2" t="s">
        <v>74</v>
      </c>
      <c r="B699" s="2">
        <v>2019</v>
      </c>
      <c r="C699" s="2" t="s">
        <v>75</v>
      </c>
      <c r="D699" s="8">
        <v>62.545012</v>
      </c>
      <c r="E699" s="4">
        <f t="shared" si="11"/>
        <v>54989529.380520798</v>
      </c>
      <c r="F699" s="4">
        <v>31597764.066341091</v>
      </c>
      <c r="G699" s="4">
        <v>28237.0388852592</v>
      </c>
      <c r="H699" s="4"/>
      <c r="I699" s="4">
        <v>31626001.105226349</v>
      </c>
      <c r="J699" s="3">
        <v>2.0143167212940649</v>
      </c>
      <c r="K699" s="4">
        <v>4655.4849644980486</v>
      </c>
      <c r="L699" s="4">
        <v>213392</v>
      </c>
      <c r="M699" s="3">
        <v>51.416874</v>
      </c>
      <c r="N699" s="3">
        <v>42.409062400000003</v>
      </c>
      <c r="O699" s="3">
        <v>74.832243300000002</v>
      </c>
      <c r="P699" s="3">
        <v>41.398584999999997</v>
      </c>
      <c r="Q699" s="3">
        <v>48.575724800000003</v>
      </c>
      <c r="R699" s="3">
        <v>59.778011399999997</v>
      </c>
      <c r="S699" s="2">
        <v>0</v>
      </c>
      <c r="T699" s="2">
        <v>0</v>
      </c>
      <c r="U699" s="2">
        <v>0</v>
      </c>
    </row>
    <row r="700" spans="1:21" x14ac:dyDescent="0.3">
      <c r="A700" s="5" t="s">
        <v>74</v>
      </c>
      <c r="B700" s="5">
        <v>2020</v>
      </c>
      <c r="C700" s="5" t="s">
        <v>75</v>
      </c>
      <c r="D700" s="9">
        <v>106.41665500000001</v>
      </c>
      <c r="E700" s="7">
        <f t="shared" si="11"/>
        <v>93561446.222110346</v>
      </c>
      <c r="F700" s="7">
        <v>1174521.6335606989</v>
      </c>
      <c r="G700" s="7"/>
      <c r="H700" s="7"/>
      <c r="I700" s="7">
        <v>1174521.6335606989</v>
      </c>
      <c r="J700" s="6">
        <v>2.6248594954381161</v>
      </c>
      <c r="K700" s="7">
        <v>5144.5356028601427</v>
      </c>
      <c r="L700" s="7">
        <v>217435</v>
      </c>
      <c r="M700" s="6">
        <v>49.661433000000002</v>
      </c>
      <c r="N700" s="6">
        <v>41.837814600000002</v>
      </c>
      <c r="O700" s="6">
        <v>74.005968699999997</v>
      </c>
      <c r="P700" s="6">
        <v>41.760091199999998</v>
      </c>
      <c r="Q700" s="6">
        <v>50.822590699999999</v>
      </c>
      <c r="R700" s="6">
        <v>58.8277067</v>
      </c>
      <c r="S700" s="5">
        <v>0</v>
      </c>
      <c r="T700" s="5">
        <v>0</v>
      </c>
      <c r="U700" s="5">
        <v>0</v>
      </c>
    </row>
    <row r="701" spans="1:21" x14ac:dyDescent="0.3">
      <c r="A701" s="2" t="s">
        <v>74</v>
      </c>
      <c r="B701" s="2">
        <v>2021</v>
      </c>
      <c r="C701" s="2" t="s">
        <v>75</v>
      </c>
      <c r="D701" s="8">
        <v>80.911558999999997</v>
      </c>
      <c r="E701" s="4">
        <f t="shared" si="11"/>
        <v>71137384.238638282</v>
      </c>
      <c r="F701" s="4">
        <v>1886912.7714454851</v>
      </c>
      <c r="G701" s="4"/>
      <c r="H701" s="4"/>
      <c r="I701" s="4">
        <v>1886912.7714454851</v>
      </c>
      <c r="J701" s="3">
        <v>1.8992989133783169</v>
      </c>
      <c r="K701" s="4">
        <v>5732.6945606153558</v>
      </c>
      <c r="L701" s="4">
        <v>221961</v>
      </c>
      <c r="M701" s="3">
        <v>51.134921599999998</v>
      </c>
      <c r="N701" s="3">
        <v>39.8252788</v>
      </c>
      <c r="O701" s="3">
        <v>76.233337699999993</v>
      </c>
      <c r="P701" s="3">
        <v>41.895630799999999</v>
      </c>
      <c r="Q701" s="3">
        <v>50.187433200000001</v>
      </c>
      <c r="R701" s="3">
        <v>59.255201499999998</v>
      </c>
      <c r="S701" s="2">
        <v>0</v>
      </c>
      <c r="T701" s="2">
        <v>0</v>
      </c>
      <c r="U701" s="2">
        <v>0</v>
      </c>
    </row>
    <row r="702" spans="1:21" x14ac:dyDescent="0.3">
      <c r="A702" s="2" t="s">
        <v>76</v>
      </c>
      <c r="B702" s="2">
        <v>2002</v>
      </c>
      <c r="C702" s="2" t="s">
        <v>77</v>
      </c>
      <c r="D702" s="8">
        <v>739.79900899999996</v>
      </c>
      <c r="E702" s="4">
        <f t="shared" si="11"/>
        <v>650430754.43147516</v>
      </c>
      <c r="F702" s="4"/>
      <c r="G702" s="4"/>
      <c r="H702" s="4"/>
      <c r="I702" s="4"/>
      <c r="J702" s="3">
        <v>6.8696574741906602E-2</v>
      </c>
      <c r="K702" s="4">
        <v>2026.7778244696899</v>
      </c>
      <c r="L702" s="4">
        <v>10466214</v>
      </c>
      <c r="M702" s="3">
        <v>55.2142628</v>
      </c>
      <c r="N702" s="3">
        <v>40.835603599999999</v>
      </c>
      <c r="O702" s="3">
        <v>57.662296899999987</v>
      </c>
      <c r="P702" s="3">
        <v>53.300915000000003</v>
      </c>
      <c r="Q702" s="3">
        <v>57.500562199999997</v>
      </c>
      <c r="R702" s="3">
        <v>60.425136199999997</v>
      </c>
      <c r="S702" s="2">
        <v>0</v>
      </c>
      <c r="T702" s="2">
        <v>0</v>
      </c>
      <c r="U702" s="2">
        <v>0</v>
      </c>
    </row>
    <row r="703" spans="1:21" x14ac:dyDescent="0.3">
      <c r="A703" s="5" t="s">
        <v>76</v>
      </c>
      <c r="B703" s="5">
        <v>2003</v>
      </c>
      <c r="C703" s="5" t="s">
        <v>77</v>
      </c>
      <c r="D703" s="9">
        <v>691.88805100000002</v>
      </c>
      <c r="E703" s="7">
        <f t="shared" si="11"/>
        <v>608307474.75907075</v>
      </c>
      <c r="F703" s="7"/>
      <c r="G703" s="7"/>
      <c r="H703" s="7"/>
      <c r="I703" s="7"/>
      <c r="J703" s="6">
        <v>5.5939509445614277</v>
      </c>
      <c r="K703" s="7">
        <v>2130.5079747448649</v>
      </c>
      <c r="L703" s="7">
        <v>10721176</v>
      </c>
      <c r="M703" s="6">
        <v>44.522062899999987</v>
      </c>
      <c r="N703" s="6">
        <v>36.689535800000002</v>
      </c>
      <c r="O703" s="6">
        <v>57.738446699999997</v>
      </c>
      <c r="P703" s="6">
        <v>50.803747100000002</v>
      </c>
      <c r="Q703" s="6">
        <v>53.834167800000003</v>
      </c>
      <c r="R703" s="6">
        <v>59.269175500000003</v>
      </c>
      <c r="S703" s="5">
        <v>1</v>
      </c>
      <c r="T703" s="5">
        <v>1</v>
      </c>
      <c r="U703" s="5">
        <v>0</v>
      </c>
    </row>
    <row r="704" spans="1:21" x14ac:dyDescent="0.3">
      <c r="A704" s="2" t="s">
        <v>76</v>
      </c>
      <c r="B704" s="2">
        <v>2004</v>
      </c>
      <c r="C704" s="2" t="s">
        <v>77</v>
      </c>
      <c r="D704" s="8">
        <v>1430.842416</v>
      </c>
      <c r="E704" s="4">
        <f t="shared" si="11"/>
        <v>1257995618.7957458</v>
      </c>
      <c r="F704" s="4"/>
      <c r="G704" s="4"/>
      <c r="H704" s="4"/>
      <c r="I704" s="4"/>
      <c r="J704" s="3">
        <v>4.6432939368331176</v>
      </c>
      <c r="K704" s="4">
        <v>2236.294009498371</v>
      </c>
      <c r="L704" s="4">
        <v>10975704</v>
      </c>
      <c r="M704" s="3">
        <v>44.738483299999999</v>
      </c>
      <c r="N704" s="3">
        <v>39.192564500000003</v>
      </c>
      <c r="O704" s="3">
        <v>62.511790599999998</v>
      </c>
      <c r="P704" s="3">
        <v>48.795816500000001</v>
      </c>
      <c r="Q704" s="3">
        <v>54.607098699999987</v>
      </c>
      <c r="R704" s="3">
        <v>59.655240199999987</v>
      </c>
      <c r="S704" s="2">
        <v>0</v>
      </c>
      <c r="T704" s="2">
        <v>0</v>
      </c>
      <c r="U704" s="2">
        <v>0</v>
      </c>
    </row>
    <row r="705" spans="1:21" x14ac:dyDescent="0.3">
      <c r="A705" s="5" t="s">
        <v>76</v>
      </c>
      <c r="B705" s="5">
        <v>2005</v>
      </c>
      <c r="C705" s="5" t="s">
        <v>77</v>
      </c>
      <c r="D705" s="9">
        <v>1001.468826</v>
      </c>
      <c r="E705" s="7">
        <f t="shared" si="11"/>
        <v>880490668.56047094</v>
      </c>
      <c r="F705" s="7">
        <v>2878348.1019532401</v>
      </c>
      <c r="G705" s="7"/>
      <c r="H705" s="7">
        <v>108308127.15064</v>
      </c>
      <c r="I705" s="7">
        <v>111186475.2525932</v>
      </c>
      <c r="J705" s="6">
        <v>4.3102385263963328</v>
      </c>
      <c r="K705" s="7">
        <v>2350.2003704245508</v>
      </c>
      <c r="L705" s="7">
        <v>11235472</v>
      </c>
      <c r="M705" s="6">
        <v>44.125784199999998</v>
      </c>
      <c r="N705" s="6">
        <v>40.843285999999999</v>
      </c>
      <c r="O705" s="6">
        <v>61.442627599999987</v>
      </c>
      <c r="P705" s="6">
        <v>49.858171599999999</v>
      </c>
      <c r="Q705" s="6">
        <v>56.487622799999997</v>
      </c>
      <c r="R705" s="6">
        <v>59.806682199999997</v>
      </c>
      <c r="S705" s="5">
        <v>0</v>
      </c>
      <c r="T705" s="5">
        <v>0</v>
      </c>
      <c r="U705" s="5">
        <v>0</v>
      </c>
    </row>
    <row r="706" spans="1:21" x14ac:dyDescent="0.3">
      <c r="A706" s="2" t="s">
        <v>76</v>
      </c>
      <c r="B706" s="2">
        <v>2006</v>
      </c>
      <c r="C706" s="2" t="s">
        <v>77</v>
      </c>
      <c r="D706" s="8">
        <v>4001.2740399999998</v>
      </c>
      <c r="E706" s="4">
        <f t="shared" si="11"/>
        <v>3517917246.2561069</v>
      </c>
      <c r="F706" s="4">
        <v>179637934.74801421</v>
      </c>
      <c r="G706" s="4"/>
      <c r="H706" s="4"/>
      <c r="I706" s="4">
        <v>179637934.74801421</v>
      </c>
      <c r="J706" s="3">
        <v>2.330770983302386</v>
      </c>
      <c r="K706" s="4">
        <v>2422.0976179885802</v>
      </c>
      <c r="L706" s="4">
        <v>11500094</v>
      </c>
      <c r="M706" s="3">
        <v>41.907435499999998</v>
      </c>
      <c r="N706" s="3">
        <v>41.1530001</v>
      </c>
      <c r="O706" s="3">
        <v>60.908709700000003</v>
      </c>
      <c r="P706" s="3">
        <v>48.461157999999998</v>
      </c>
      <c r="Q706" s="3">
        <v>53.108474999999999</v>
      </c>
      <c r="R706" s="3">
        <v>58.153675399999997</v>
      </c>
      <c r="S706" s="2">
        <v>0</v>
      </c>
      <c r="T706" s="2">
        <v>0</v>
      </c>
      <c r="U706" s="2">
        <v>0</v>
      </c>
    </row>
    <row r="707" spans="1:21" x14ac:dyDescent="0.3">
      <c r="A707" s="5" t="s">
        <v>76</v>
      </c>
      <c r="B707" s="5">
        <v>2007</v>
      </c>
      <c r="C707" s="5" t="s">
        <v>77</v>
      </c>
      <c r="D707" s="9">
        <v>862.82026599999995</v>
      </c>
      <c r="E707" s="7">
        <f t="shared" si="11"/>
        <v>758590954.74017596</v>
      </c>
      <c r="F707" s="7">
        <v>235498503.52951509</v>
      </c>
      <c r="G707" s="7"/>
      <c r="H707" s="7"/>
      <c r="I707" s="7">
        <v>235498503.52951509</v>
      </c>
      <c r="J707" s="6">
        <v>2.8271192013337441</v>
      </c>
      <c r="K707" s="7">
        <v>2499.3158288219161</v>
      </c>
      <c r="L707" s="7">
        <v>11770344</v>
      </c>
      <c r="M707" s="6">
        <v>40.441169100000003</v>
      </c>
      <c r="N707" s="6">
        <v>42.718618900000003</v>
      </c>
      <c r="O707" s="6">
        <v>62.2486502</v>
      </c>
      <c r="P707" s="6">
        <v>48.200988000000002</v>
      </c>
      <c r="Q707" s="6">
        <v>53.913302599999987</v>
      </c>
      <c r="R707" s="6">
        <v>54.109630799999998</v>
      </c>
      <c r="S707" s="5">
        <v>0</v>
      </c>
      <c r="T707" s="5">
        <v>0</v>
      </c>
      <c r="U707" s="5">
        <v>0</v>
      </c>
    </row>
    <row r="708" spans="1:21" x14ac:dyDescent="0.3">
      <c r="A708" s="2" t="s">
        <v>76</v>
      </c>
      <c r="B708" s="2">
        <v>2008</v>
      </c>
      <c r="C708" s="2" t="s">
        <v>77</v>
      </c>
      <c r="D708" s="8">
        <v>1150.4083089999999</v>
      </c>
      <c r="E708" s="4">
        <f t="shared" si="11"/>
        <v>1011438154.4502821</v>
      </c>
      <c r="F708" s="4"/>
      <c r="G708" s="4"/>
      <c r="H708" s="4"/>
      <c r="I708" s="4"/>
      <c r="J708" s="3">
        <v>3.7031690639138621</v>
      </c>
      <c r="K708" s="4">
        <v>2580.7194918021719</v>
      </c>
      <c r="L708" s="4">
        <v>12048959</v>
      </c>
      <c r="M708" s="3">
        <v>40.303826200000003</v>
      </c>
      <c r="N708" s="3">
        <v>46.1249118</v>
      </c>
      <c r="O708" s="3">
        <v>62.752560899999999</v>
      </c>
      <c r="P708" s="3">
        <v>49.890288499999997</v>
      </c>
      <c r="Q708" s="3">
        <v>53.211443199999998</v>
      </c>
      <c r="R708" s="3">
        <v>53.131579500000001</v>
      </c>
      <c r="S708" s="2">
        <v>0</v>
      </c>
      <c r="T708" s="2">
        <v>0</v>
      </c>
      <c r="U708" s="2">
        <v>0</v>
      </c>
    </row>
    <row r="709" spans="1:21" x14ac:dyDescent="0.3">
      <c r="A709" s="5" t="s">
        <v>76</v>
      </c>
      <c r="B709" s="5">
        <v>2009</v>
      </c>
      <c r="C709" s="5" t="s">
        <v>77</v>
      </c>
      <c r="D709" s="9">
        <v>1095.0614129999999</v>
      </c>
      <c r="E709" s="7">
        <f t="shared" si="11"/>
        <v>962777203.45849669</v>
      </c>
      <c r="F709" s="7">
        <v>0</v>
      </c>
      <c r="G709" s="7"/>
      <c r="H709" s="7">
        <v>12767085.410335699</v>
      </c>
      <c r="I709" s="7">
        <v>12767085.410335699</v>
      </c>
      <c r="J709" s="6">
        <v>2.7521044845505291</v>
      </c>
      <c r="K709" s="7">
        <v>2605.7228025070108</v>
      </c>
      <c r="L709" s="7">
        <v>12337389</v>
      </c>
      <c r="M709" s="6">
        <v>38.855872400000003</v>
      </c>
      <c r="N709" s="6">
        <v>44.708453800000001</v>
      </c>
      <c r="O709" s="6">
        <v>65.427698300000003</v>
      </c>
      <c r="P709" s="6">
        <v>49.114408699999998</v>
      </c>
      <c r="Q709" s="6">
        <v>51.967210899999998</v>
      </c>
      <c r="R709" s="6">
        <v>52.8047957</v>
      </c>
      <c r="S709" s="5">
        <v>0</v>
      </c>
      <c r="T709" s="5">
        <v>0</v>
      </c>
      <c r="U709" s="5">
        <v>0</v>
      </c>
    </row>
    <row r="710" spans="1:21" x14ac:dyDescent="0.3">
      <c r="A710" s="2" t="s">
        <v>76</v>
      </c>
      <c r="B710" s="2">
        <v>2010</v>
      </c>
      <c r="C710" s="2" t="s">
        <v>77</v>
      </c>
      <c r="D710" s="8">
        <v>1035.1766299999999</v>
      </c>
      <c r="E710" s="4">
        <f t="shared" si="11"/>
        <v>910126545.49356401</v>
      </c>
      <c r="F710" s="4">
        <v>138980386.1848284</v>
      </c>
      <c r="G710" s="4"/>
      <c r="H710" s="4"/>
      <c r="I710" s="4">
        <v>138980386.1848284</v>
      </c>
      <c r="J710" s="3">
        <v>3.39088925336209</v>
      </c>
      <c r="K710" s="4">
        <v>2662.5048662647941</v>
      </c>
      <c r="L710" s="4">
        <v>12635413</v>
      </c>
      <c r="M710" s="3">
        <v>36.523260200000003</v>
      </c>
      <c r="N710" s="3">
        <v>45.788362999999997</v>
      </c>
      <c r="O710" s="3">
        <v>58.506648899999988</v>
      </c>
      <c r="P710" s="3">
        <v>48.900502499999988</v>
      </c>
      <c r="Q710" s="3">
        <v>51.079825300000003</v>
      </c>
      <c r="R710" s="3">
        <v>52.405250700000003</v>
      </c>
      <c r="S710" s="2">
        <v>0</v>
      </c>
      <c r="T710" s="2">
        <v>0</v>
      </c>
      <c r="U710" s="2">
        <v>0</v>
      </c>
    </row>
    <row r="711" spans="1:21" x14ac:dyDescent="0.3">
      <c r="A711" s="5" t="s">
        <v>76</v>
      </c>
      <c r="B711" s="5">
        <v>2011</v>
      </c>
      <c r="C711" s="5" t="s">
        <v>77</v>
      </c>
      <c r="D711" s="9">
        <v>1116.5586949999999</v>
      </c>
      <c r="E711" s="7">
        <f t="shared" si="11"/>
        <v>981677598.26760375</v>
      </c>
      <c r="F711" s="7">
        <v>103629549.6602502</v>
      </c>
      <c r="G711" s="7">
        <v>187477.338888839</v>
      </c>
      <c r="H711" s="7"/>
      <c r="I711" s="7">
        <v>103817026.999139</v>
      </c>
      <c r="J711" s="6">
        <v>1.3340910796125769</v>
      </c>
      <c r="K711" s="7">
        <v>2684.949897223185</v>
      </c>
      <c r="L711" s="7">
        <v>12958897</v>
      </c>
      <c r="M711" s="6">
        <v>40.3257276</v>
      </c>
      <c r="N711" s="6">
        <v>46.469304299999997</v>
      </c>
      <c r="O711" s="6">
        <v>60.189770799999998</v>
      </c>
      <c r="P711" s="6">
        <v>49.720969699999998</v>
      </c>
      <c r="Q711" s="6">
        <v>51.022021500000001</v>
      </c>
      <c r="R711" s="6">
        <v>52.060903199999998</v>
      </c>
      <c r="S711" s="5">
        <v>1</v>
      </c>
      <c r="T711" s="5">
        <v>1</v>
      </c>
      <c r="U711" s="5">
        <v>0</v>
      </c>
    </row>
    <row r="712" spans="1:21" x14ac:dyDescent="0.3">
      <c r="A712" s="2" t="s">
        <v>76</v>
      </c>
      <c r="B712" s="2">
        <v>2012</v>
      </c>
      <c r="C712" s="2" t="s">
        <v>77</v>
      </c>
      <c r="D712" s="8">
        <v>1218.1339559999999</v>
      </c>
      <c r="E712" s="4">
        <f t="shared" si="11"/>
        <v>1070982494.381359</v>
      </c>
      <c r="F712" s="4">
        <v>62730975.561853677</v>
      </c>
      <c r="G712" s="4"/>
      <c r="H712" s="4">
        <v>41875627.9749249</v>
      </c>
      <c r="I712" s="4">
        <v>104606603.5367786</v>
      </c>
      <c r="J712" s="3">
        <v>4.002995550904572</v>
      </c>
      <c r="K712" s="4">
        <v>2764.261307084822</v>
      </c>
      <c r="L712" s="4">
        <v>13310495</v>
      </c>
      <c r="M712" s="3">
        <v>42.573805</v>
      </c>
      <c r="N712" s="3">
        <v>46.674691499999987</v>
      </c>
      <c r="O712" s="3">
        <v>63.211914099999987</v>
      </c>
      <c r="P712" s="3">
        <v>50.980767099999987</v>
      </c>
      <c r="Q712" s="3">
        <v>53.489084599999998</v>
      </c>
      <c r="R712" s="3">
        <v>55.7545462</v>
      </c>
      <c r="S712" s="2">
        <v>0</v>
      </c>
      <c r="T712" s="2">
        <v>0</v>
      </c>
      <c r="U712" s="2">
        <v>0</v>
      </c>
    </row>
    <row r="713" spans="1:21" x14ac:dyDescent="0.3">
      <c r="A713" s="5" t="s">
        <v>76</v>
      </c>
      <c r="B713" s="5">
        <v>2013</v>
      </c>
      <c r="C713" s="5" t="s">
        <v>77</v>
      </c>
      <c r="D713" s="9">
        <v>1141.6690470000001</v>
      </c>
      <c r="E713" s="7">
        <f t="shared" si="11"/>
        <v>1003754601.6113592</v>
      </c>
      <c r="F713" s="7">
        <v>21270149.671333969</v>
      </c>
      <c r="G713" s="7">
        <v>156007455.16785401</v>
      </c>
      <c r="H713" s="7"/>
      <c r="I713" s="7">
        <v>177277604.83918801</v>
      </c>
      <c r="J713" s="6">
        <v>2.4123852760557871</v>
      </c>
      <c r="K713" s="7">
        <v>2768.7681871198452</v>
      </c>
      <c r="L713" s="7">
        <v>13710849</v>
      </c>
      <c r="M713" s="6">
        <v>43.3654595</v>
      </c>
      <c r="N713" s="6">
        <v>47.830160100000001</v>
      </c>
      <c r="O713" s="6">
        <v>64.233094899999998</v>
      </c>
      <c r="P713" s="6">
        <v>51.249303900000001</v>
      </c>
      <c r="Q713" s="6">
        <v>53.375795099999998</v>
      </c>
      <c r="R713" s="6">
        <v>56.614996599999998</v>
      </c>
      <c r="S713" s="5">
        <v>0</v>
      </c>
      <c r="T713" s="5">
        <v>0</v>
      </c>
      <c r="U713" s="5">
        <v>0</v>
      </c>
    </row>
    <row r="714" spans="1:21" x14ac:dyDescent="0.3">
      <c r="A714" s="2" t="s">
        <v>76</v>
      </c>
      <c r="B714" s="2">
        <v>2014</v>
      </c>
      <c r="C714" s="2" t="s">
        <v>77</v>
      </c>
      <c r="D714" s="8">
        <v>1291.3212510000001</v>
      </c>
      <c r="E714" s="4">
        <f t="shared" si="11"/>
        <v>1135328711.289645</v>
      </c>
      <c r="F714" s="4">
        <v>52140202.217766263</v>
      </c>
      <c r="G714" s="4">
        <v>3358809.1906767199</v>
      </c>
      <c r="H714" s="4"/>
      <c r="I714" s="4">
        <v>55499011.408442967</v>
      </c>
      <c r="J714" s="3">
        <v>6.2240744379098629</v>
      </c>
      <c r="K714" s="4">
        <v>2853.804562506351</v>
      </c>
      <c r="L714" s="4">
        <v>14152102</v>
      </c>
      <c r="M714" s="3">
        <v>48.575628500000001</v>
      </c>
      <c r="N714" s="3">
        <v>48.925311499999999</v>
      </c>
      <c r="O714" s="3">
        <v>64.372566199999994</v>
      </c>
      <c r="P714" s="3">
        <v>50.671314500000001</v>
      </c>
      <c r="Q714" s="3">
        <v>54.625435000000003</v>
      </c>
      <c r="R714" s="3">
        <v>57.782829199999988</v>
      </c>
      <c r="S714" s="2">
        <v>0</v>
      </c>
      <c r="T714" s="2">
        <v>0</v>
      </c>
      <c r="U714" s="2">
        <v>0</v>
      </c>
    </row>
    <row r="715" spans="1:21" x14ac:dyDescent="0.3">
      <c r="A715" s="5" t="s">
        <v>76</v>
      </c>
      <c r="B715" s="5">
        <v>2015</v>
      </c>
      <c r="C715" s="5" t="s">
        <v>77</v>
      </c>
      <c r="D715" s="9">
        <v>1184.6800209999999</v>
      </c>
      <c r="E715" s="7">
        <f t="shared" si="11"/>
        <v>1041569818.889722</v>
      </c>
      <c r="F715" s="7">
        <v>545336447.20364594</v>
      </c>
      <c r="G715" s="7">
        <v>775188224.66364598</v>
      </c>
      <c r="H715" s="7"/>
      <c r="I715" s="7">
        <v>1320524671.8672919</v>
      </c>
      <c r="J715" s="6">
        <v>6.367043650669828</v>
      </c>
      <c r="K715" s="7">
        <v>2994.280327148746</v>
      </c>
      <c r="L715" s="7">
        <v>14593331</v>
      </c>
      <c r="M715" s="6">
        <v>49.487086599999998</v>
      </c>
      <c r="N715" s="6">
        <v>48.176685599999999</v>
      </c>
      <c r="O715" s="6">
        <v>64.620064900000003</v>
      </c>
      <c r="P715" s="6">
        <v>52.389068199999997</v>
      </c>
      <c r="Q715" s="6">
        <v>54.601002700000002</v>
      </c>
      <c r="R715" s="6">
        <v>58.994951800000003</v>
      </c>
      <c r="S715" s="5">
        <v>0</v>
      </c>
      <c r="T715" s="5">
        <v>0</v>
      </c>
      <c r="U715" s="5">
        <v>0</v>
      </c>
    </row>
    <row r="716" spans="1:21" x14ac:dyDescent="0.3">
      <c r="A716" s="2" t="s">
        <v>76</v>
      </c>
      <c r="B716" s="2">
        <v>2016</v>
      </c>
      <c r="C716" s="2" t="s">
        <v>77</v>
      </c>
      <c r="D716" s="8">
        <v>1002.743486</v>
      </c>
      <c r="E716" s="4">
        <f t="shared" si="11"/>
        <v>881611348.71191406</v>
      </c>
      <c r="F716" s="4">
        <v>624683.99398514885</v>
      </c>
      <c r="G716" s="4"/>
      <c r="H716" s="4">
        <v>126465970.6693763</v>
      </c>
      <c r="I716" s="4">
        <v>127090654.6633615</v>
      </c>
      <c r="J716" s="3">
        <v>6.3560685718187813</v>
      </c>
      <c r="K716" s="4">
        <v>3101.1234849410789</v>
      </c>
      <c r="L716" s="4">
        <v>15034521</v>
      </c>
      <c r="M716" s="3">
        <v>48.492957999999987</v>
      </c>
      <c r="N716" s="3">
        <v>47.748079199999999</v>
      </c>
      <c r="O716" s="3">
        <v>62.100542500000003</v>
      </c>
      <c r="P716" s="3">
        <v>52.275132300000003</v>
      </c>
      <c r="Q716" s="3">
        <v>55.818188399999997</v>
      </c>
      <c r="R716" s="3">
        <v>59.862425899999998</v>
      </c>
      <c r="S716" s="2">
        <v>0</v>
      </c>
      <c r="T716" s="2">
        <v>0</v>
      </c>
      <c r="U716" s="2">
        <v>0</v>
      </c>
    </row>
    <row r="717" spans="1:21" x14ac:dyDescent="0.3">
      <c r="A717" s="5" t="s">
        <v>76</v>
      </c>
      <c r="B717" s="5">
        <v>2017</v>
      </c>
      <c r="C717" s="5" t="s">
        <v>77</v>
      </c>
      <c r="D717" s="9">
        <v>1190.6736659999999</v>
      </c>
      <c r="E717" s="7">
        <f t="shared" si="11"/>
        <v>1046839427.245124</v>
      </c>
      <c r="F717" s="7">
        <v>109346356.43882731</v>
      </c>
      <c r="G717" s="7">
        <v>5539565.9891916635</v>
      </c>
      <c r="H717" s="7"/>
      <c r="I717" s="7">
        <v>114885922.4280189</v>
      </c>
      <c r="J717" s="6">
        <v>7.4074861863012984</v>
      </c>
      <c r="K717" s="7">
        <v>3234.3615819408828</v>
      </c>
      <c r="L717" s="7">
        <v>15475002</v>
      </c>
      <c r="M717" s="6">
        <v>47.495677899999997</v>
      </c>
      <c r="N717" s="6">
        <v>50.762349499999999</v>
      </c>
      <c r="O717" s="6">
        <v>63.4650532</v>
      </c>
      <c r="P717" s="6">
        <v>51.911490699999987</v>
      </c>
      <c r="Q717" s="6">
        <v>54.734492400000001</v>
      </c>
      <c r="R717" s="6">
        <v>57.943323499999998</v>
      </c>
      <c r="S717" s="5">
        <v>0</v>
      </c>
      <c r="T717" s="5">
        <v>0</v>
      </c>
      <c r="U717" s="5">
        <v>0</v>
      </c>
    </row>
    <row r="718" spans="1:21" x14ac:dyDescent="0.3">
      <c r="A718" s="2" t="s">
        <v>76</v>
      </c>
      <c r="B718" s="2">
        <v>2018</v>
      </c>
      <c r="C718" s="2" t="s">
        <v>77</v>
      </c>
      <c r="D718" s="8">
        <v>1257.7529649999999</v>
      </c>
      <c r="E718" s="4">
        <f t="shared" si="11"/>
        <v>1105815498.4813921</v>
      </c>
      <c r="F718" s="4">
        <v>400669667.31189609</v>
      </c>
      <c r="G718" s="4"/>
      <c r="H718" s="4">
        <v>50176765.152613401</v>
      </c>
      <c r="I718" s="4">
        <v>450846432.46450949</v>
      </c>
      <c r="J718" s="3">
        <v>6.2092410338908621</v>
      </c>
      <c r="K718" s="4">
        <v>3380.2159652944538</v>
      </c>
      <c r="L718" s="4">
        <v>15914498</v>
      </c>
      <c r="M718" s="3">
        <v>48.403597699999999</v>
      </c>
      <c r="N718" s="3">
        <v>49.667824199999998</v>
      </c>
      <c r="O718" s="3">
        <v>63.467155899999987</v>
      </c>
      <c r="P718" s="3">
        <v>51.352770700000001</v>
      </c>
      <c r="Q718" s="3">
        <v>54.595070199999988</v>
      </c>
      <c r="R718" s="3">
        <v>58.372479299999988</v>
      </c>
      <c r="S718" s="2">
        <v>0</v>
      </c>
      <c r="T718" s="2">
        <v>0</v>
      </c>
      <c r="U718" s="2">
        <v>0</v>
      </c>
    </row>
    <row r="719" spans="1:21" x14ac:dyDescent="0.3">
      <c r="A719" s="5" t="s">
        <v>76</v>
      </c>
      <c r="B719" s="5">
        <v>2019</v>
      </c>
      <c r="C719" s="5" t="s">
        <v>77</v>
      </c>
      <c r="D719" s="9">
        <v>1778.5523929999999</v>
      </c>
      <c r="E719" s="7">
        <f t="shared" si="11"/>
        <v>1563701979.4587147</v>
      </c>
      <c r="F719" s="7">
        <v>37508023.291877799</v>
      </c>
      <c r="G719" s="7">
        <v>112356461.22621299</v>
      </c>
      <c r="H719" s="7">
        <v>164844810.63157299</v>
      </c>
      <c r="I719" s="7">
        <v>314709295.14966381</v>
      </c>
      <c r="J719" s="6">
        <v>4.6136280974970836</v>
      </c>
      <c r="K719" s="7">
        <v>3647.9513735724158</v>
      </c>
      <c r="L719" s="7">
        <v>16352922</v>
      </c>
      <c r="M719" s="6">
        <v>47.848174100000001</v>
      </c>
      <c r="N719" s="6">
        <v>53.759853199999988</v>
      </c>
      <c r="O719" s="6">
        <v>66.971757099999991</v>
      </c>
      <c r="P719" s="6">
        <v>51.6037477</v>
      </c>
      <c r="Q719" s="6">
        <v>55.0407431</v>
      </c>
      <c r="R719" s="6">
        <v>57.807537399999987</v>
      </c>
      <c r="S719" s="5">
        <v>0</v>
      </c>
      <c r="T719" s="5">
        <v>0</v>
      </c>
      <c r="U719" s="5">
        <v>0</v>
      </c>
    </row>
    <row r="720" spans="1:21" x14ac:dyDescent="0.3">
      <c r="A720" s="2" t="s">
        <v>76</v>
      </c>
      <c r="B720" s="2">
        <v>2020</v>
      </c>
      <c r="C720" s="2" t="s">
        <v>77</v>
      </c>
      <c r="D720" s="8">
        <v>1943.3154340000001</v>
      </c>
      <c r="E720" s="4">
        <f t="shared" si="11"/>
        <v>1708561526.1143854</v>
      </c>
      <c r="F720" s="4">
        <v>1623313.8716414559</v>
      </c>
      <c r="G720" s="4">
        <v>6322.3401916459197</v>
      </c>
      <c r="H720" s="4"/>
      <c r="I720" s="4">
        <v>1629636.2118331019</v>
      </c>
      <c r="J720" s="3">
        <v>1.342073772667902</v>
      </c>
      <c r="K720" s="4">
        <v>3752.9194749081698</v>
      </c>
      <c r="L720" s="4">
        <v>16789219</v>
      </c>
      <c r="M720" s="3">
        <v>47.5398955</v>
      </c>
      <c r="N720" s="3">
        <v>52.997810999999999</v>
      </c>
      <c r="O720" s="3">
        <v>65.431461400000003</v>
      </c>
      <c r="P720" s="3">
        <v>51.048942199999999</v>
      </c>
      <c r="Q720" s="3">
        <v>55.254167799999998</v>
      </c>
      <c r="R720" s="3">
        <v>57.610949499999997</v>
      </c>
      <c r="S720" s="2">
        <v>0</v>
      </c>
      <c r="T720" s="2">
        <v>0</v>
      </c>
      <c r="U720" s="2">
        <v>0</v>
      </c>
    </row>
    <row r="721" spans="1:21" x14ac:dyDescent="0.3">
      <c r="A721" s="5" t="s">
        <v>76</v>
      </c>
      <c r="B721" s="5">
        <v>2021</v>
      </c>
      <c r="C721" s="5" t="s">
        <v>77</v>
      </c>
      <c r="D721" s="9">
        <v>1591.241176</v>
      </c>
      <c r="E721" s="7">
        <f t="shared" si="11"/>
        <v>1399018092.748091</v>
      </c>
      <c r="F721" s="7">
        <v>14400000</v>
      </c>
      <c r="G721" s="7">
        <v>628785305.31176472</v>
      </c>
      <c r="H721" s="7">
        <v>0</v>
      </c>
      <c r="I721" s="7">
        <v>643185305.31176472</v>
      </c>
      <c r="J721" s="6">
        <v>6.5440010996430402</v>
      </c>
      <c r="K721" s="7">
        <v>4173.6774139961944</v>
      </c>
      <c r="L721" s="7">
        <v>17220867</v>
      </c>
      <c r="M721" s="6">
        <v>48.585378899999988</v>
      </c>
      <c r="N721" s="6">
        <v>53.886241299999988</v>
      </c>
      <c r="O721" s="6">
        <v>64.11690759999999</v>
      </c>
      <c r="P721" s="6">
        <v>51.067024099999998</v>
      </c>
      <c r="Q721" s="6">
        <v>54.408647299999998</v>
      </c>
      <c r="R721" s="6">
        <v>57.3954168</v>
      </c>
      <c r="S721" s="5">
        <v>0</v>
      </c>
      <c r="T721" s="5">
        <v>0</v>
      </c>
      <c r="U721" s="5">
        <v>0</v>
      </c>
    </row>
    <row r="722" spans="1:21" x14ac:dyDescent="0.3">
      <c r="A722" s="5" t="s">
        <v>78</v>
      </c>
      <c r="B722" s="5">
        <v>2002</v>
      </c>
      <c r="C722" s="5" t="s">
        <v>79</v>
      </c>
      <c r="D722" s="9">
        <v>5.3546060000000004</v>
      </c>
      <c r="E722" s="7">
        <f t="shared" si="11"/>
        <v>4707765.7281145453</v>
      </c>
      <c r="F722" s="7">
        <v>0</v>
      </c>
      <c r="G722" s="7"/>
      <c r="H722" s="7"/>
      <c r="I722" s="7">
        <v>0</v>
      </c>
      <c r="J722" s="6">
        <v>1.212832902593135</v>
      </c>
      <c r="K722" s="7">
        <v>14569.625645769591</v>
      </c>
      <c r="L722" s="7">
        <v>83723</v>
      </c>
      <c r="M722" s="6">
        <v>61.380135799999998</v>
      </c>
      <c r="N722" s="6">
        <v>65.991436800000002</v>
      </c>
      <c r="O722" s="6">
        <v>78.682186599999994</v>
      </c>
      <c r="P722" s="6">
        <v>61.227974799999998</v>
      </c>
      <c r="Q722" s="6">
        <v>65.248450800000001</v>
      </c>
      <c r="R722" s="6">
        <v>59.060962399999987</v>
      </c>
      <c r="S722" s="5">
        <v>0</v>
      </c>
      <c r="T722" s="5">
        <v>0</v>
      </c>
      <c r="U722" s="5">
        <v>0</v>
      </c>
    </row>
    <row r="723" spans="1:21" x14ac:dyDescent="0.3">
      <c r="A723" s="2" t="s">
        <v>78</v>
      </c>
      <c r="B723" s="2">
        <v>2003</v>
      </c>
      <c r="C723" s="2" t="s">
        <v>79</v>
      </c>
      <c r="D723" s="8">
        <v>7.9626609999999998</v>
      </c>
      <c r="E723" s="4">
        <f t="shared" si="11"/>
        <v>7000765.8005825812</v>
      </c>
      <c r="F723" s="4">
        <v>5886274.67871626</v>
      </c>
      <c r="G723" s="4"/>
      <c r="H723" s="4"/>
      <c r="I723" s="4">
        <v>5886274.67871626</v>
      </c>
      <c r="J723" s="3">
        <v>-5.8871284876447731</v>
      </c>
      <c r="K723" s="4">
        <v>14141.723004674561</v>
      </c>
      <c r="L723" s="4">
        <v>82781</v>
      </c>
      <c r="M723" s="3">
        <v>62.578661399999987</v>
      </c>
      <c r="N723" s="3">
        <v>65.741540299999997</v>
      </c>
      <c r="O723" s="3">
        <v>73.491224899999992</v>
      </c>
      <c r="P723" s="3">
        <v>64.030206100000001</v>
      </c>
      <c r="Q723" s="3">
        <v>66.322820300000004</v>
      </c>
      <c r="R723" s="3">
        <v>57.704610499999987</v>
      </c>
      <c r="S723" s="2">
        <v>0</v>
      </c>
      <c r="T723" s="2">
        <v>0</v>
      </c>
      <c r="U723" s="2">
        <v>0</v>
      </c>
    </row>
    <row r="724" spans="1:21" x14ac:dyDescent="0.3">
      <c r="A724" s="5" t="s">
        <v>78</v>
      </c>
      <c r="B724" s="5">
        <v>2004</v>
      </c>
      <c r="C724" s="5" t="s">
        <v>79</v>
      </c>
      <c r="D724" s="9">
        <v>7.3877800000000002</v>
      </c>
      <c r="E724" s="7">
        <f t="shared" si="11"/>
        <v>6495330.8405604586</v>
      </c>
      <c r="F724" s="7">
        <v>0</v>
      </c>
      <c r="G724" s="7"/>
      <c r="H724" s="7"/>
      <c r="I724" s="7">
        <v>0</v>
      </c>
      <c r="J724" s="6">
        <v>-2.8504539768538</v>
      </c>
      <c r="K724" s="7">
        <v>14160.407168600401</v>
      </c>
      <c r="L724" s="7">
        <v>82475</v>
      </c>
      <c r="M724" s="6">
        <v>52.300295599999998</v>
      </c>
      <c r="N724" s="6">
        <v>56.742134200000002</v>
      </c>
      <c r="O724" s="6">
        <v>74.042012599999993</v>
      </c>
      <c r="P724" s="6">
        <v>48.360033299999998</v>
      </c>
      <c r="Q724" s="6">
        <v>64.83740929999999</v>
      </c>
      <c r="R724" s="6">
        <v>61.376322899999998</v>
      </c>
      <c r="S724" s="5">
        <v>0</v>
      </c>
      <c r="T724" s="5">
        <v>0</v>
      </c>
      <c r="U724" s="5">
        <v>0</v>
      </c>
    </row>
    <row r="725" spans="1:21" x14ac:dyDescent="0.3">
      <c r="A725" s="2" t="s">
        <v>78</v>
      </c>
      <c r="B725" s="2">
        <v>2005</v>
      </c>
      <c r="C725" s="2" t="s">
        <v>79</v>
      </c>
      <c r="D725" s="8">
        <v>10.154242999999999</v>
      </c>
      <c r="E725" s="4">
        <f t="shared" si="11"/>
        <v>8927603.1122265626</v>
      </c>
      <c r="F725" s="4">
        <v>15622217.701106191</v>
      </c>
      <c r="G725" s="4"/>
      <c r="H725" s="4"/>
      <c r="I725" s="4">
        <v>15622217.701106191</v>
      </c>
      <c r="J725" s="3">
        <v>9.0057617374237964</v>
      </c>
      <c r="K725" s="4">
        <v>15846.051402955511</v>
      </c>
      <c r="L725" s="4">
        <v>82858</v>
      </c>
      <c r="M725" s="3">
        <v>50.124377099999997</v>
      </c>
      <c r="N725" s="3">
        <v>57.912531999999999</v>
      </c>
      <c r="O725" s="3">
        <v>78.93477399999999</v>
      </c>
      <c r="P725" s="3">
        <v>52.033790099999997</v>
      </c>
      <c r="Q725" s="3">
        <v>64.045529299999998</v>
      </c>
      <c r="R725" s="3">
        <v>61.511331899999988</v>
      </c>
      <c r="S725" s="2">
        <v>0</v>
      </c>
      <c r="T725" s="2">
        <v>0</v>
      </c>
      <c r="U725" s="2">
        <v>0</v>
      </c>
    </row>
    <row r="726" spans="1:21" x14ac:dyDescent="0.3">
      <c r="A726" s="5" t="s">
        <v>78</v>
      </c>
      <c r="B726" s="5">
        <v>2006</v>
      </c>
      <c r="C726" s="5" t="s">
        <v>79</v>
      </c>
      <c r="D726" s="9">
        <v>13.587173</v>
      </c>
      <c r="E726" s="7">
        <f t="shared" si="11"/>
        <v>11945832.688971568</v>
      </c>
      <c r="F726" s="7">
        <v>244832.37857246489</v>
      </c>
      <c r="G726" s="7"/>
      <c r="H726" s="7"/>
      <c r="I726" s="7">
        <v>244832.37857246489</v>
      </c>
      <c r="J726" s="6">
        <v>9.4061285573282731</v>
      </c>
      <c r="K726" s="7">
        <v>17503.19649817481</v>
      </c>
      <c r="L726" s="7">
        <v>84600</v>
      </c>
      <c r="M726" s="6">
        <v>50.175152999999987</v>
      </c>
      <c r="N726" s="6">
        <v>57.882945999999997</v>
      </c>
      <c r="O726" s="6">
        <v>79.603496399999997</v>
      </c>
      <c r="P726" s="6">
        <v>52.0105383</v>
      </c>
      <c r="Q726" s="6">
        <v>62.182938800000002</v>
      </c>
      <c r="R726" s="6">
        <v>62.695380499999999</v>
      </c>
      <c r="S726" s="5">
        <v>0</v>
      </c>
      <c r="T726" s="5">
        <v>0</v>
      </c>
      <c r="U726" s="5">
        <v>0</v>
      </c>
    </row>
    <row r="727" spans="1:21" x14ac:dyDescent="0.3">
      <c r="A727" s="2" t="s">
        <v>78</v>
      </c>
      <c r="B727" s="2">
        <v>2007</v>
      </c>
      <c r="C727" s="2" t="s">
        <v>79</v>
      </c>
      <c r="D727" s="8">
        <v>6.2289849999999998</v>
      </c>
      <c r="E727" s="4">
        <f t="shared" si="11"/>
        <v>5476519.1134398272</v>
      </c>
      <c r="F727" s="4">
        <v>15747538.72014345</v>
      </c>
      <c r="G727" s="4"/>
      <c r="H727" s="4"/>
      <c r="I727" s="4">
        <v>15747538.72014345</v>
      </c>
      <c r="J727" s="3">
        <v>8.8760664557087949</v>
      </c>
      <c r="K727" s="4">
        <v>19473.420675414811</v>
      </c>
      <c r="L727" s="4">
        <v>85033</v>
      </c>
      <c r="M727" s="3">
        <v>50.138780999999987</v>
      </c>
      <c r="N727" s="3">
        <v>57.927686700000002</v>
      </c>
      <c r="O727" s="3">
        <v>78.50984179999999</v>
      </c>
      <c r="P727" s="3">
        <v>54.401922599999999</v>
      </c>
      <c r="Q727" s="3">
        <v>63.713570999999988</v>
      </c>
      <c r="R727" s="3">
        <v>61.628407799999998</v>
      </c>
      <c r="S727" s="2">
        <v>0</v>
      </c>
      <c r="T727" s="2">
        <v>0</v>
      </c>
      <c r="U727" s="2">
        <v>0</v>
      </c>
    </row>
    <row r="728" spans="1:21" x14ac:dyDescent="0.3">
      <c r="A728" s="5" t="s">
        <v>78</v>
      </c>
      <c r="B728" s="5">
        <v>2008</v>
      </c>
      <c r="C728" s="5" t="s">
        <v>79</v>
      </c>
      <c r="D728" s="9">
        <v>6.3096579999999998</v>
      </c>
      <c r="E728" s="7">
        <f t="shared" si="11"/>
        <v>5547446.7567779524</v>
      </c>
      <c r="F728" s="7">
        <v>9723279.1096898206</v>
      </c>
      <c r="G728" s="7"/>
      <c r="H728" s="7"/>
      <c r="I728" s="7">
        <v>9723279.1096898206</v>
      </c>
      <c r="J728" s="6">
        <v>-2.7259462615486432</v>
      </c>
      <c r="K728" s="7">
        <v>18880.574856244479</v>
      </c>
      <c r="L728" s="7">
        <v>86956</v>
      </c>
      <c r="M728" s="6">
        <v>50.148450399999987</v>
      </c>
      <c r="N728" s="6">
        <v>57.962584799999988</v>
      </c>
      <c r="O728" s="6">
        <v>77.93105229999999</v>
      </c>
      <c r="P728" s="6">
        <v>52.995961899999998</v>
      </c>
      <c r="Q728" s="6">
        <v>62.575200000000002</v>
      </c>
      <c r="R728" s="6">
        <v>60.946241299999997</v>
      </c>
      <c r="S728" s="5">
        <v>0</v>
      </c>
      <c r="T728" s="5">
        <v>0</v>
      </c>
      <c r="U728" s="5">
        <v>0</v>
      </c>
    </row>
    <row r="729" spans="1:21" x14ac:dyDescent="0.3">
      <c r="A729" s="2" t="s">
        <v>78</v>
      </c>
      <c r="B729" s="2">
        <v>2009</v>
      </c>
      <c r="C729" s="2" t="s">
        <v>79</v>
      </c>
      <c r="D729" s="8">
        <v>22.857948</v>
      </c>
      <c r="E729" s="4">
        <f t="shared" si="11"/>
        <v>20096691.373636905</v>
      </c>
      <c r="F729" s="4">
        <v>9049610.5408556201</v>
      </c>
      <c r="G729" s="4"/>
      <c r="H729" s="4"/>
      <c r="I729" s="4">
        <v>9049610.5408556201</v>
      </c>
      <c r="J729" s="3">
        <v>-2.4793759472613739</v>
      </c>
      <c r="K729" s="4">
        <v>18453.441073034792</v>
      </c>
      <c r="L729" s="4">
        <v>87298</v>
      </c>
      <c r="M729" s="3">
        <v>56.196044000000001</v>
      </c>
      <c r="N729" s="3">
        <v>62.973507099999999</v>
      </c>
      <c r="O729" s="3">
        <v>76.860488599999996</v>
      </c>
      <c r="P729" s="3">
        <v>56.420352100000002</v>
      </c>
      <c r="Q729" s="3">
        <v>60.341887499999999</v>
      </c>
      <c r="R729" s="3">
        <v>60.988065199999987</v>
      </c>
      <c r="S729" s="2">
        <v>0</v>
      </c>
      <c r="T729" s="2">
        <v>0</v>
      </c>
      <c r="U729" s="2">
        <v>0</v>
      </c>
    </row>
    <row r="730" spans="1:21" x14ac:dyDescent="0.3">
      <c r="A730" s="5" t="s">
        <v>78</v>
      </c>
      <c r="B730" s="5">
        <v>2010</v>
      </c>
      <c r="C730" s="5" t="s">
        <v>79</v>
      </c>
      <c r="D730" s="9">
        <v>78.179541999999998</v>
      </c>
      <c r="E730" s="7">
        <f t="shared" si="11"/>
        <v>68735396.865295336</v>
      </c>
      <c r="F730" s="7">
        <v>3115467.5198497511</v>
      </c>
      <c r="G730" s="7"/>
      <c r="H730" s="7"/>
      <c r="I730" s="7">
        <v>3115467.5198497511</v>
      </c>
      <c r="J730" s="6">
        <v>4.5051320431206676</v>
      </c>
      <c r="K730" s="7">
        <v>18981.65865034435</v>
      </c>
      <c r="L730" s="7">
        <v>89770</v>
      </c>
      <c r="M730" s="6">
        <v>56.783052599999998</v>
      </c>
      <c r="N730" s="6">
        <v>62.996631899999997</v>
      </c>
      <c r="O730" s="6">
        <v>80.524449199999992</v>
      </c>
      <c r="P730" s="6">
        <v>58.277118299999998</v>
      </c>
      <c r="Q730" s="6">
        <v>58.814262100000001</v>
      </c>
      <c r="R730" s="6">
        <v>61.273576299999988</v>
      </c>
      <c r="S730" s="5">
        <v>0</v>
      </c>
      <c r="T730" s="5">
        <v>0</v>
      </c>
      <c r="U730" s="5">
        <v>0</v>
      </c>
    </row>
    <row r="731" spans="1:21" x14ac:dyDescent="0.3">
      <c r="A731" s="2" t="s">
        <v>78</v>
      </c>
      <c r="B731" s="2">
        <v>2011</v>
      </c>
      <c r="C731" s="2" t="s">
        <v>79</v>
      </c>
      <c r="D731" s="8">
        <v>25.695654000000001</v>
      </c>
      <c r="E731" s="4">
        <f t="shared" si="11"/>
        <v>22591600.43945146</v>
      </c>
      <c r="F731" s="4">
        <v>43263433.495105267</v>
      </c>
      <c r="G731" s="4"/>
      <c r="H731" s="4"/>
      <c r="I731" s="4">
        <v>43263433.495105267</v>
      </c>
      <c r="J731" s="3">
        <v>9.5097833517957042</v>
      </c>
      <c r="K731" s="4">
        <v>21780.7075576057</v>
      </c>
      <c r="L731" s="4">
        <v>87441</v>
      </c>
      <c r="M731" s="3">
        <v>56.768434199999987</v>
      </c>
      <c r="N731" s="3">
        <v>62.983026899999999</v>
      </c>
      <c r="O731" s="3">
        <v>79.137486499999994</v>
      </c>
      <c r="P731" s="3">
        <v>57.185663499999997</v>
      </c>
      <c r="Q731" s="3">
        <v>58.892312599999997</v>
      </c>
      <c r="R731" s="3">
        <v>59.642036299999987</v>
      </c>
      <c r="S731" s="2">
        <v>0</v>
      </c>
      <c r="T731" s="2">
        <v>0</v>
      </c>
      <c r="U731" s="2">
        <v>0</v>
      </c>
    </row>
    <row r="732" spans="1:21" x14ac:dyDescent="0.3">
      <c r="A732" s="5" t="s">
        <v>78</v>
      </c>
      <c r="B732" s="5">
        <v>2012</v>
      </c>
      <c r="C732" s="5" t="s">
        <v>79</v>
      </c>
      <c r="D732" s="9">
        <v>38.873919000000001</v>
      </c>
      <c r="E732" s="7">
        <f t="shared" si="11"/>
        <v>34177921.510135546</v>
      </c>
      <c r="F732" s="7">
        <v>12667651.90774042</v>
      </c>
      <c r="G732" s="7">
        <v>0</v>
      </c>
      <c r="H732" s="7"/>
      <c r="I732" s="7">
        <v>12667651.90774042</v>
      </c>
      <c r="J732" s="6">
        <v>3.1106784939242971</v>
      </c>
      <c r="K732" s="7">
        <v>22263.822159947049</v>
      </c>
      <c r="L732" s="7">
        <v>88303</v>
      </c>
      <c r="M732" s="6">
        <v>56.167230199999999</v>
      </c>
      <c r="N732" s="6">
        <v>65.153801999999999</v>
      </c>
      <c r="O732" s="6">
        <v>78.291081199999994</v>
      </c>
      <c r="P732" s="6">
        <v>57.708412000000003</v>
      </c>
      <c r="Q732" s="6">
        <v>59.352244499999998</v>
      </c>
      <c r="R732" s="6">
        <v>59.540418600000002</v>
      </c>
      <c r="S732" s="5">
        <v>0</v>
      </c>
      <c r="T732" s="5">
        <v>0</v>
      </c>
      <c r="U732" s="5">
        <v>0</v>
      </c>
    </row>
    <row r="733" spans="1:21" x14ac:dyDescent="0.3">
      <c r="A733" s="2" t="s">
        <v>78</v>
      </c>
      <c r="B733" s="2">
        <v>2013</v>
      </c>
      <c r="C733" s="2" t="s">
        <v>79</v>
      </c>
      <c r="D733" s="8">
        <v>32.900990999999998</v>
      </c>
      <c r="E733" s="4">
        <f t="shared" si="11"/>
        <v>28926527.526171874</v>
      </c>
      <c r="F733" s="4">
        <v>5607472.6223918404</v>
      </c>
      <c r="G733" s="4">
        <v>0</v>
      </c>
      <c r="H733" s="4"/>
      <c r="I733" s="4">
        <v>5607472.6223918404</v>
      </c>
      <c r="J733" s="3">
        <v>1.25373496242949</v>
      </c>
      <c r="K733" s="4">
        <v>22487.249774700049</v>
      </c>
      <c r="L733" s="4">
        <v>89949</v>
      </c>
      <c r="M733" s="3">
        <v>56.295721499999999</v>
      </c>
      <c r="N733" s="3">
        <v>63.7929812</v>
      </c>
      <c r="O733" s="3">
        <v>78.417519200000001</v>
      </c>
      <c r="P733" s="3">
        <v>56.742585899999987</v>
      </c>
      <c r="Q733" s="3">
        <v>59.688106299999987</v>
      </c>
      <c r="R733" s="3">
        <v>58.449570700000002</v>
      </c>
      <c r="S733" s="2">
        <v>0</v>
      </c>
      <c r="T733" s="2">
        <v>0</v>
      </c>
      <c r="U733" s="2">
        <v>0</v>
      </c>
    </row>
    <row r="734" spans="1:21" x14ac:dyDescent="0.3">
      <c r="A734" s="5" t="s">
        <v>78</v>
      </c>
      <c r="B734" s="5">
        <v>2014</v>
      </c>
      <c r="C734" s="5" t="s">
        <v>79</v>
      </c>
      <c r="D734" s="9">
        <v>17.658131999999998</v>
      </c>
      <c r="E734" s="7">
        <f t="shared" si="11"/>
        <v>15525016.901733337</v>
      </c>
      <c r="F734" s="7">
        <v>0</v>
      </c>
      <c r="G734" s="7"/>
      <c r="H734" s="7"/>
      <c r="I734" s="7">
        <v>0</v>
      </c>
      <c r="J734" s="6">
        <v>4.0636918123521042</v>
      </c>
      <c r="K734" s="7">
        <v>24984.52691542602</v>
      </c>
      <c r="L734" s="7">
        <v>91359</v>
      </c>
      <c r="M734" s="6">
        <v>57.394881299999987</v>
      </c>
      <c r="N734" s="6">
        <v>62.4827984</v>
      </c>
      <c r="O734" s="6">
        <v>73.716375799999994</v>
      </c>
      <c r="P734" s="6">
        <v>53.467109499999999</v>
      </c>
      <c r="Q734" s="6">
        <v>59.377392800000003</v>
      </c>
      <c r="R734" s="6">
        <v>58.1214078</v>
      </c>
      <c r="S734" s="5">
        <v>0</v>
      </c>
      <c r="T734" s="5">
        <v>0</v>
      </c>
      <c r="U734" s="5">
        <v>0</v>
      </c>
    </row>
    <row r="735" spans="1:21" x14ac:dyDescent="0.3">
      <c r="A735" s="2" t="s">
        <v>78</v>
      </c>
      <c r="B735" s="2">
        <v>2015</v>
      </c>
      <c r="C735" s="2" t="s">
        <v>79</v>
      </c>
      <c r="D735" s="8">
        <v>13.197284</v>
      </c>
      <c r="E735" s="4">
        <f t="shared" si="11"/>
        <v>11603042.561748601</v>
      </c>
      <c r="F735" s="4">
        <v>0</v>
      </c>
      <c r="G735" s="4">
        <v>0</v>
      </c>
      <c r="H735" s="4"/>
      <c r="I735" s="4">
        <v>0</v>
      </c>
      <c r="J735" s="3">
        <v>8.9140088750469033</v>
      </c>
      <c r="K735" s="4">
        <v>25435.228989436178</v>
      </c>
      <c r="L735" s="4">
        <v>93419</v>
      </c>
      <c r="M735" s="3">
        <v>66.555125000000004</v>
      </c>
      <c r="N735" s="3">
        <v>64.126428599999997</v>
      </c>
      <c r="O735" s="3">
        <v>78.957538599999992</v>
      </c>
      <c r="P735" s="3">
        <v>59.331502499999999</v>
      </c>
      <c r="Q735" s="3">
        <v>61.989139399999999</v>
      </c>
      <c r="R735" s="3">
        <v>60.955811599999997</v>
      </c>
      <c r="S735" s="2">
        <v>0</v>
      </c>
      <c r="T735" s="2">
        <v>0</v>
      </c>
      <c r="U735" s="2">
        <v>0</v>
      </c>
    </row>
    <row r="736" spans="1:21" x14ac:dyDescent="0.3">
      <c r="A736" s="5" t="s">
        <v>78</v>
      </c>
      <c r="B736" s="5">
        <v>2016</v>
      </c>
      <c r="C736" s="5" t="s">
        <v>79</v>
      </c>
      <c r="D736" s="9">
        <v>26.817056000000001</v>
      </c>
      <c r="E736" s="7">
        <f t="shared" si="11"/>
        <v>23577536.267977241</v>
      </c>
      <c r="F736" s="7">
        <v>21339441.023358081</v>
      </c>
      <c r="G736" s="7"/>
      <c r="H736" s="7"/>
      <c r="I736" s="7">
        <v>21339441.023358081</v>
      </c>
      <c r="J736" s="6">
        <v>12.11752724539134</v>
      </c>
      <c r="K736" s="7">
        <v>28811.39703349581</v>
      </c>
      <c r="L736" s="7">
        <v>94677</v>
      </c>
      <c r="M736" s="6">
        <v>66.304915399999999</v>
      </c>
      <c r="N736" s="6">
        <v>67.150477299999991</v>
      </c>
      <c r="O736" s="6">
        <v>78.920811499999999</v>
      </c>
      <c r="P736" s="6">
        <v>58.842019099999987</v>
      </c>
      <c r="Q736" s="6">
        <v>62.770087099999998</v>
      </c>
      <c r="R736" s="6">
        <v>62.161773399999987</v>
      </c>
      <c r="S736" s="5">
        <v>0</v>
      </c>
      <c r="T736" s="5">
        <v>0</v>
      </c>
      <c r="U736" s="5">
        <v>0</v>
      </c>
    </row>
    <row r="737" spans="1:21" x14ac:dyDescent="0.3">
      <c r="A737" s="2" t="s">
        <v>78</v>
      </c>
      <c r="B737" s="2">
        <v>2017</v>
      </c>
      <c r="C737" s="2" t="s">
        <v>79</v>
      </c>
      <c r="D737" s="8">
        <v>23.385138999999999</v>
      </c>
      <c r="E737" s="4">
        <f t="shared" si="11"/>
        <v>20560197.320100646</v>
      </c>
      <c r="F737" s="4">
        <v>13356368.77067169</v>
      </c>
      <c r="G737" s="4">
        <v>0</v>
      </c>
      <c r="H737" s="4"/>
      <c r="I737" s="4">
        <v>13356368.77067169</v>
      </c>
      <c r="J737" s="3">
        <v>6.954162187942714</v>
      </c>
      <c r="K737" s="4">
        <v>30674.6487335442</v>
      </c>
      <c r="L737" s="4">
        <v>95843</v>
      </c>
      <c r="M737" s="3">
        <v>62.470816499999998</v>
      </c>
      <c r="N737" s="3">
        <v>63.372099799999987</v>
      </c>
      <c r="O737" s="3">
        <v>79.790668099999991</v>
      </c>
      <c r="P737" s="3">
        <v>56.907665399999999</v>
      </c>
      <c r="Q737" s="3">
        <v>61.300262099999998</v>
      </c>
      <c r="R737" s="3">
        <v>62.007769000000003</v>
      </c>
      <c r="S737" s="2">
        <v>0</v>
      </c>
      <c r="T737" s="2">
        <v>0</v>
      </c>
      <c r="U737" s="2">
        <v>0</v>
      </c>
    </row>
    <row r="738" spans="1:21" x14ac:dyDescent="0.3">
      <c r="A738" s="5" t="s">
        <v>78</v>
      </c>
      <c r="B738" s="5">
        <v>2018</v>
      </c>
      <c r="C738" s="5" t="s">
        <v>79</v>
      </c>
      <c r="D738" s="7"/>
      <c r="E738" s="7">
        <f t="shared" si="11"/>
        <v>0</v>
      </c>
      <c r="F738" s="7"/>
      <c r="G738" s="7">
        <v>6231495.4059620397</v>
      </c>
      <c r="H738" s="7"/>
      <c r="I738" s="7">
        <v>6231495.4059620397</v>
      </c>
      <c r="J738" s="6">
        <v>4.9394727225431154</v>
      </c>
      <c r="K738" s="7">
        <v>32091.2988657346</v>
      </c>
      <c r="L738" s="7">
        <v>96762</v>
      </c>
      <c r="M738" s="6">
        <v>64.379467699999992</v>
      </c>
      <c r="N738" s="6">
        <v>63.989023499999988</v>
      </c>
      <c r="O738" s="6">
        <v>79.219225299999991</v>
      </c>
      <c r="P738" s="6">
        <v>58.849341799999998</v>
      </c>
      <c r="Q738" s="6">
        <v>64.445450999999991</v>
      </c>
      <c r="R738" s="6">
        <v>62.774395499999997</v>
      </c>
      <c r="S738" s="5">
        <v>0</v>
      </c>
      <c r="T738" s="5">
        <v>0</v>
      </c>
      <c r="U738" s="5">
        <v>0</v>
      </c>
    </row>
    <row r="739" spans="1:21" x14ac:dyDescent="0.3">
      <c r="A739" s="2" t="s">
        <v>78</v>
      </c>
      <c r="B739" s="2">
        <v>2019</v>
      </c>
      <c r="C739" s="2" t="s">
        <v>79</v>
      </c>
      <c r="D739" s="4"/>
      <c r="E739" s="4">
        <f t="shared" si="11"/>
        <v>0</v>
      </c>
      <c r="F739" s="4"/>
      <c r="G739" s="4">
        <v>233976.62202938</v>
      </c>
      <c r="H739" s="4"/>
      <c r="I739" s="4">
        <v>233976.62202938</v>
      </c>
      <c r="J739" s="3">
        <v>5.5142920737341967</v>
      </c>
      <c r="K739" s="4">
        <v>34219.061370117961</v>
      </c>
      <c r="L739" s="4">
        <v>97625</v>
      </c>
      <c r="M739" s="3">
        <v>69.582365899999999</v>
      </c>
      <c r="N739" s="3">
        <v>62.265114799999999</v>
      </c>
      <c r="O739" s="3">
        <v>77.718017399999994</v>
      </c>
      <c r="P739" s="3">
        <v>59.189222200000003</v>
      </c>
      <c r="Q739" s="3">
        <v>64.417175499999999</v>
      </c>
      <c r="R739" s="3">
        <v>63.003490799999987</v>
      </c>
      <c r="S739" s="2">
        <v>0</v>
      </c>
      <c r="T739" s="2">
        <v>0</v>
      </c>
      <c r="U739" s="2">
        <v>0</v>
      </c>
    </row>
    <row r="740" spans="1:21" x14ac:dyDescent="0.3">
      <c r="A740" s="5" t="s">
        <v>78</v>
      </c>
      <c r="B740" s="5">
        <v>2020</v>
      </c>
      <c r="C740" s="5" t="s">
        <v>79</v>
      </c>
      <c r="D740" s="7"/>
      <c r="E740" s="7">
        <f t="shared" si="11"/>
        <v>0</v>
      </c>
      <c r="F740" s="7"/>
      <c r="G740" s="7">
        <v>194570.87520792239</v>
      </c>
      <c r="H740" s="7"/>
      <c r="I740" s="7">
        <v>194570.87520792239</v>
      </c>
      <c r="J740" s="6">
        <v>-11.739860828173191</v>
      </c>
      <c r="K740" s="7">
        <v>31055.944205503951</v>
      </c>
      <c r="L740" s="7">
        <v>98462</v>
      </c>
      <c r="M740" s="6">
        <v>71.027463699999998</v>
      </c>
      <c r="N740" s="6">
        <v>60.995239400000003</v>
      </c>
      <c r="O740" s="6">
        <v>78.319703099999998</v>
      </c>
      <c r="P740" s="6">
        <v>59.166881999999987</v>
      </c>
      <c r="Q740" s="6">
        <v>66.137516099999999</v>
      </c>
      <c r="R740" s="6">
        <v>67.374891500000004</v>
      </c>
      <c r="S740" s="5">
        <v>0</v>
      </c>
      <c r="T740" s="5">
        <v>0</v>
      </c>
      <c r="U740" s="5">
        <v>0</v>
      </c>
    </row>
    <row r="741" spans="1:21" x14ac:dyDescent="0.3">
      <c r="A741" s="2" t="s">
        <v>78</v>
      </c>
      <c r="B741" s="2">
        <v>2021</v>
      </c>
      <c r="C741" s="2" t="s">
        <v>79</v>
      </c>
      <c r="D741" s="4"/>
      <c r="E741" s="4">
        <f t="shared" si="11"/>
        <v>0</v>
      </c>
      <c r="F741" s="4"/>
      <c r="G741" s="4">
        <v>641917.677944378</v>
      </c>
      <c r="H741" s="4"/>
      <c r="I741" s="4">
        <v>641917.677944378</v>
      </c>
      <c r="J741" s="3">
        <v>0.55228163120727913</v>
      </c>
      <c r="K741" s="4">
        <v>29979.82726860906</v>
      </c>
      <c r="L741" s="4">
        <v>99258</v>
      </c>
      <c r="M741" s="3">
        <v>71.013924199999991</v>
      </c>
      <c r="N741" s="3">
        <v>62.252880599999997</v>
      </c>
      <c r="O741" s="3">
        <v>78.299229099999991</v>
      </c>
      <c r="P741" s="3">
        <v>59.157896999999998</v>
      </c>
      <c r="Q741" s="3">
        <v>66.467414300000002</v>
      </c>
      <c r="R741" s="3">
        <v>68.755076500000001</v>
      </c>
      <c r="S741" s="2">
        <v>0</v>
      </c>
      <c r="T741" s="2">
        <v>0</v>
      </c>
      <c r="U741" s="2">
        <v>0</v>
      </c>
    </row>
    <row r="742" spans="1:21" x14ac:dyDescent="0.3">
      <c r="A742" s="2" t="s">
        <v>80</v>
      </c>
      <c r="B742" s="2">
        <v>2002</v>
      </c>
      <c r="C742" s="2" t="s">
        <v>81</v>
      </c>
      <c r="D742" s="8">
        <v>589.77968499999997</v>
      </c>
      <c r="E742" s="4">
        <f t="shared" si="11"/>
        <v>518533873.1143229</v>
      </c>
      <c r="F742" s="4">
        <v>15639298.344826899</v>
      </c>
      <c r="G742" s="4"/>
      <c r="H742" s="4"/>
      <c r="I742" s="4">
        <v>15639298.344826899</v>
      </c>
      <c r="J742" s="3">
        <v>26.524135067440909</v>
      </c>
      <c r="K742" s="4">
        <v>1359.9172565124629</v>
      </c>
      <c r="L742" s="4">
        <v>4971435</v>
      </c>
      <c r="M742" s="3">
        <v>31.573281999999999</v>
      </c>
      <c r="N742" s="3">
        <v>10.997862400000001</v>
      </c>
      <c r="O742" s="3">
        <v>49.022807800000002</v>
      </c>
      <c r="P742" s="3">
        <v>32.954951199999996</v>
      </c>
      <c r="Q742" s="3">
        <v>31.3690006</v>
      </c>
      <c r="R742" s="3">
        <v>46.625941099999999</v>
      </c>
      <c r="S742" s="2">
        <v>0</v>
      </c>
      <c r="T742" s="2">
        <v>0</v>
      </c>
      <c r="U742" s="2">
        <v>0</v>
      </c>
    </row>
    <row r="743" spans="1:21" x14ac:dyDescent="0.3">
      <c r="A743" s="5" t="s">
        <v>80</v>
      </c>
      <c r="B743" s="5">
        <v>2003</v>
      </c>
      <c r="C743" s="5" t="s">
        <v>81</v>
      </c>
      <c r="D743" s="9">
        <v>487.44795699999997</v>
      </c>
      <c r="E743" s="7">
        <f t="shared" si="11"/>
        <v>428563891.7604866</v>
      </c>
      <c r="F743" s="7">
        <v>609015.93509463395</v>
      </c>
      <c r="G743" s="7"/>
      <c r="H743" s="7"/>
      <c r="I743" s="7">
        <v>609015.93509463395</v>
      </c>
      <c r="J743" s="6">
        <v>9.4836312688534292</v>
      </c>
      <c r="K743" s="7">
        <v>1457.801678574582</v>
      </c>
      <c r="L743" s="7">
        <v>5177687</v>
      </c>
      <c r="M743" s="6">
        <v>31.408774999999999</v>
      </c>
      <c r="N743" s="6">
        <v>10.8678033</v>
      </c>
      <c r="O743" s="6">
        <v>48.6087293</v>
      </c>
      <c r="P743" s="6">
        <v>32.955395899999999</v>
      </c>
      <c r="Q743" s="6">
        <v>36.914375300000003</v>
      </c>
      <c r="R743" s="6">
        <v>48.465058800000001</v>
      </c>
      <c r="S743" s="5">
        <v>0</v>
      </c>
      <c r="T743" s="5">
        <v>0</v>
      </c>
      <c r="U743" s="5">
        <v>0</v>
      </c>
    </row>
    <row r="744" spans="1:21" x14ac:dyDescent="0.3">
      <c r="A744" s="2" t="s">
        <v>80</v>
      </c>
      <c r="B744" s="2">
        <v>2004</v>
      </c>
      <c r="C744" s="2" t="s">
        <v>81</v>
      </c>
      <c r="D744" s="8">
        <v>488.53824300000002</v>
      </c>
      <c r="E744" s="4">
        <f t="shared" si="11"/>
        <v>429522470.4242844</v>
      </c>
      <c r="F744" s="4">
        <v>0</v>
      </c>
      <c r="G744" s="4">
        <v>6832956.3656599</v>
      </c>
      <c r="H744" s="4"/>
      <c r="I744" s="4">
        <v>6832956.3656599</v>
      </c>
      <c r="J744" s="3">
        <v>6.4788458841734666</v>
      </c>
      <c r="K744" s="4">
        <v>1541.005713214385</v>
      </c>
      <c r="L744" s="4">
        <v>5355717</v>
      </c>
      <c r="M744" s="3">
        <v>31.002270299999999</v>
      </c>
      <c r="N744" s="3">
        <v>24.318715600000001</v>
      </c>
      <c r="O744" s="3">
        <v>58.939884499999998</v>
      </c>
      <c r="P744" s="3">
        <v>35.732637500000003</v>
      </c>
      <c r="Q744" s="3">
        <v>39.265107800000003</v>
      </c>
      <c r="R744" s="3">
        <v>53.1205231</v>
      </c>
      <c r="S744" s="2">
        <v>0</v>
      </c>
      <c r="T744" s="2">
        <v>0</v>
      </c>
      <c r="U744" s="2">
        <v>0</v>
      </c>
    </row>
    <row r="745" spans="1:21" x14ac:dyDescent="0.3">
      <c r="A745" s="5" t="s">
        <v>80</v>
      </c>
      <c r="B745" s="5">
        <v>2005</v>
      </c>
      <c r="C745" s="5" t="s">
        <v>81</v>
      </c>
      <c r="D745" s="9">
        <v>429.11697099999998</v>
      </c>
      <c r="E745" s="7">
        <f t="shared" si="11"/>
        <v>377279330.99580491</v>
      </c>
      <c r="F745" s="7">
        <v>21702333.4961414</v>
      </c>
      <c r="G745" s="7"/>
      <c r="H745" s="7"/>
      <c r="I745" s="7">
        <v>21702333.4961414</v>
      </c>
      <c r="J745" s="6">
        <v>4.3534998069981006</v>
      </c>
      <c r="K745" s="7">
        <v>1614.503619251738</v>
      </c>
      <c r="L745" s="7">
        <v>5501712</v>
      </c>
      <c r="M745" s="6">
        <v>26.826020700000001</v>
      </c>
      <c r="N745" s="6">
        <v>25.285573299999999</v>
      </c>
      <c r="O745" s="6">
        <v>58.510547000000003</v>
      </c>
      <c r="P745" s="6">
        <v>36.676011299999999</v>
      </c>
      <c r="Q745" s="6">
        <v>40.439049900000001</v>
      </c>
      <c r="R745" s="6">
        <v>51.338810000000002</v>
      </c>
      <c r="S745" s="5">
        <v>0</v>
      </c>
      <c r="T745" s="5">
        <v>0</v>
      </c>
      <c r="U745" s="5">
        <v>0</v>
      </c>
    </row>
    <row r="746" spans="1:21" x14ac:dyDescent="0.3">
      <c r="A746" s="2" t="s">
        <v>80</v>
      </c>
      <c r="B746" s="2">
        <v>2006</v>
      </c>
      <c r="C746" s="2" t="s">
        <v>81</v>
      </c>
      <c r="D746" s="8">
        <v>911.11785899999995</v>
      </c>
      <c r="E746" s="4">
        <f t="shared" si="11"/>
        <v>801054163.62535357</v>
      </c>
      <c r="F746" s="4">
        <v>5245782.9741802607</v>
      </c>
      <c r="G746" s="4"/>
      <c r="H746" s="4"/>
      <c r="I746" s="4">
        <v>5245782.9741802607</v>
      </c>
      <c r="J746" s="3">
        <v>4.2831106226433491</v>
      </c>
      <c r="K746" s="4">
        <v>1697.696804212781</v>
      </c>
      <c r="L746" s="4">
        <v>5624466</v>
      </c>
      <c r="M746" s="3">
        <v>27.369692100000002</v>
      </c>
      <c r="N746" s="3">
        <v>28.073221700000001</v>
      </c>
      <c r="O746" s="3">
        <v>61.762258499999987</v>
      </c>
      <c r="P746" s="3">
        <v>36.877970599999998</v>
      </c>
      <c r="Q746" s="3">
        <v>41.958834099999997</v>
      </c>
      <c r="R746" s="3">
        <v>52.155521699999987</v>
      </c>
      <c r="S746" s="2">
        <v>0</v>
      </c>
      <c r="T746" s="2">
        <v>0</v>
      </c>
      <c r="U746" s="2">
        <v>0</v>
      </c>
    </row>
    <row r="747" spans="1:21" x14ac:dyDescent="0.3">
      <c r="A747" s="5" t="s">
        <v>80</v>
      </c>
      <c r="B747" s="5">
        <v>2007</v>
      </c>
      <c r="C747" s="5" t="s">
        <v>81</v>
      </c>
      <c r="D747" s="9">
        <v>590.68357600000002</v>
      </c>
      <c r="E747" s="7">
        <f t="shared" si="11"/>
        <v>519328573.42873466</v>
      </c>
      <c r="F747" s="7">
        <v>70541817.848200589</v>
      </c>
      <c r="G747" s="7"/>
      <c r="H747" s="7"/>
      <c r="I747" s="7">
        <v>70541817.848200589</v>
      </c>
      <c r="J747" s="6">
        <v>3.749758047516409</v>
      </c>
      <c r="K747" s="7">
        <v>1769.7797212546709</v>
      </c>
      <c r="L747" s="7">
        <v>5749352</v>
      </c>
      <c r="M747" s="6">
        <v>28.4850776</v>
      </c>
      <c r="N747" s="6">
        <v>29.1651764</v>
      </c>
      <c r="O747" s="6">
        <v>63.241745399999999</v>
      </c>
      <c r="P747" s="6">
        <v>37.122285699999999</v>
      </c>
      <c r="Q747" s="6">
        <v>42.214900100000001</v>
      </c>
      <c r="R747" s="6">
        <v>52.343200799999998</v>
      </c>
      <c r="S747" s="5">
        <v>0</v>
      </c>
      <c r="T747" s="5">
        <v>0</v>
      </c>
      <c r="U747" s="5">
        <v>0</v>
      </c>
    </row>
    <row r="748" spans="1:21" x14ac:dyDescent="0.3">
      <c r="A748" s="2" t="s">
        <v>80</v>
      </c>
      <c r="B748" s="2">
        <v>2008</v>
      </c>
      <c r="C748" s="2" t="s">
        <v>81</v>
      </c>
      <c r="D748" s="8">
        <v>410.15865400000001</v>
      </c>
      <c r="E748" s="4">
        <f t="shared" si="11"/>
        <v>360611192.38106257</v>
      </c>
      <c r="F748" s="4">
        <v>0</v>
      </c>
      <c r="G748" s="4"/>
      <c r="H748" s="4"/>
      <c r="I748" s="4">
        <v>0</v>
      </c>
      <c r="J748" s="3">
        <v>3.686059699321234</v>
      </c>
      <c r="K748" s="4">
        <v>1824.2449836755561</v>
      </c>
      <c r="L748" s="4">
        <v>5894722</v>
      </c>
      <c r="M748" s="3">
        <v>29.8234803</v>
      </c>
      <c r="N748" s="3">
        <v>28.521066099999999</v>
      </c>
      <c r="O748" s="3">
        <v>61.134432799999999</v>
      </c>
      <c r="P748" s="3">
        <v>37.352073699999998</v>
      </c>
      <c r="Q748" s="3">
        <v>42.094056899999998</v>
      </c>
      <c r="R748" s="3">
        <v>53.207200699999987</v>
      </c>
      <c r="S748" s="2">
        <v>0</v>
      </c>
      <c r="T748" s="2">
        <v>0</v>
      </c>
      <c r="U748" s="2">
        <v>0</v>
      </c>
    </row>
    <row r="749" spans="1:21" x14ac:dyDescent="0.3">
      <c r="A749" s="5" t="s">
        <v>80</v>
      </c>
      <c r="B749" s="5">
        <v>2009</v>
      </c>
      <c r="C749" s="5" t="s">
        <v>81</v>
      </c>
      <c r="D749" s="9">
        <v>470.61606699999999</v>
      </c>
      <c r="E749" s="7">
        <f t="shared" si="11"/>
        <v>413765306.22844303</v>
      </c>
      <c r="F749" s="7">
        <v>0</v>
      </c>
      <c r="G749" s="7"/>
      <c r="H749" s="7"/>
      <c r="I749" s="7">
        <v>0</v>
      </c>
      <c r="J749" s="6">
        <v>1.530803239587158</v>
      </c>
      <c r="K749" s="7">
        <v>1814.0708691735031</v>
      </c>
      <c r="L749" s="7">
        <v>6055646</v>
      </c>
      <c r="M749" s="6">
        <v>32.541902200000003</v>
      </c>
      <c r="N749" s="6">
        <v>28.281144399999999</v>
      </c>
      <c r="O749" s="6">
        <v>61.208097199999997</v>
      </c>
      <c r="P749" s="6">
        <v>39.246792300000003</v>
      </c>
      <c r="Q749" s="6">
        <v>42.549101</v>
      </c>
      <c r="R749" s="6">
        <v>52.584896200000003</v>
      </c>
      <c r="S749" s="5">
        <v>0</v>
      </c>
      <c r="T749" s="5">
        <v>0</v>
      </c>
      <c r="U749" s="5">
        <v>0</v>
      </c>
    </row>
    <row r="750" spans="1:21" x14ac:dyDescent="0.3">
      <c r="A750" s="2" t="s">
        <v>80</v>
      </c>
      <c r="B750" s="2">
        <v>2010</v>
      </c>
      <c r="C750" s="2" t="s">
        <v>81</v>
      </c>
      <c r="D750" s="8">
        <v>502.12799999999999</v>
      </c>
      <c r="E750" s="4">
        <f t="shared" si="11"/>
        <v>441470574.96418971</v>
      </c>
      <c r="F750" s="4">
        <v>0</v>
      </c>
      <c r="G750" s="4"/>
      <c r="H750" s="4"/>
      <c r="I750" s="4">
        <v>0</v>
      </c>
      <c r="J750" s="3">
        <v>6.3556659580049484</v>
      </c>
      <c r="K750" s="4">
        <v>1900.3851520670289</v>
      </c>
      <c r="L750" s="4">
        <v>6222714</v>
      </c>
      <c r="M750" s="3">
        <v>35.0645095</v>
      </c>
      <c r="N750" s="3">
        <v>29.113523399999998</v>
      </c>
      <c r="O750" s="3">
        <v>61.837923099999998</v>
      </c>
      <c r="P750" s="3">
        <v>39.773455200000001</v>
      </c>
      <c r="Q750" s="3">
        <v>42.565680100000002</v>
      </c>
      <c r="R750" s="3">
        <v>54.0050867</v>
      </c>
      <c r="S750" s="2">
        <v>0</v>
      </c>
      <c r="T750" s="2">
        <v>0</v>
      </c>
      <c r="U750" s="2">
        <v>0</v>
      </c>
    </row>
    <row r="751" spans="1:21" x14ac:dyDescent="0.3">
      <c r="A751" s="5" t="s">
        <v>80</v>
      </c>
      <c r="B751" s="5">
        <v>2011</v>
      </c>
      <c r="C751" s="5" t="s">
        <v>81</v>
      </c>
      <c r="D751" s="9">
        <v>429.37966599999999</v>
      </c>
      <c r="E751" s="7">
        <f t="shared" ref="E751:E801" si="12">(D751*0.879199277802054)*1000000</f>
        <v>377510292.25008714</v>
      </c>
      <c r="F751" s="7">
        <v>53368299.691270299</v>
      </c>
      <c r="G751" s="7">
        <v>0</v>
      </c>
      <c r="H751" s="7">
        <v>0</v>
      </c>
      <c r="I751" s="7">
        <v>53368299.691270299</v>
      </c>
      <c r="J751" s="6">
        <v>8.1006551871491723</v>
      </c>
      <c r="K751" s="7">
        <v>2042.7000910139859</v>
      </c>
      <c r="L751" s="7">
        <v>6387251</v>
      </c>
      <c r="M751" s="6">
        <v>34.360492700000002</v>
      </c>
      <c r="N751" s="6">
        <v>29.302670899999999</v>
      </c>
      <c r="O751" s="6">
        <v>61.385001099999997</v>
      </c>
      <c r="P751" s="6">
        <v>40.045838699999997</v>
      </c>
      <c r="Q751" s="6">
        <v>43.478196699999998</v>
      </c>
      <c r="R751" s="6">
        <v>53.384513200000001</v>
      </c>
      <c r="S751" s="5">
        <v>0</v>
      </c>
      <c r="T751" s="5">
        <v>0</v>
      </c>
      <c r="U751" s="5">
        <v>0</v>
      </c>
    </row>
    <row r="752" spans="1:21" x14ac:dyDescent="0.3">
      <c r="A752" s="2" t="s">
        <v>80</v>
      </c>
      <c r="B752" s="2">
        <v>2012</v>
      </c>
      <c r="C752" s="2" t="s">
        <v>81</v>
      </c>
      <c r="D752" s="8">
        <v>478.314415</v>
      </c>
      <c r="E752" s="4">
        <f t="shared" si="12"/>
        <v>420533688.23031193</v>
      </c>
      <c r="F752" s="4">
        <v>18239162.406856179</v>
      </c>
      <c r="G752" s="4">
        <v>1408948269.5110099</v>
      </c>
      <c r="H752" s="4"/>
      <c r="I752" s="4">
        <v>1427187431.917866</v>
      </c>
      <c r="J752" s="3">
        <v>10.578331663386979</v>
      </c>
      <c r="K752" s="4">
        <v>2317.191399752804</v>
      </c>
      <c r="L752" s="4">
        <v>6551080</v>
      </c>
      <c r="M752" s="3">
        <v>32.287182700000002</v>
      </c>
      <c r="N752" s="3">
        <v>29.902048400000002</v>
      </c>
      <c r="O752" s="3">
        <v>61.474624799999987</v>
      </c>
      <c r="P752" s="3">
        <v>39.915875900000003</v>
      </c>
      <c r="Q752" s="3">
        <v>44.2013733</v>
      </c>
      <c r="R752" s="3">
        <v>51.987502999999997</v>
      </c>
      <c r="S752" s="2">
        <v>0</v>
      </c>
      <c r="T752" s="2">
        <v>0</v>
      </c>
      <c r="U752" s="2">
        <v>0</v>
      </c>
    </row>
    <row r="753" spans="1:21" x14ac:dyDescent="0.3">
      <c r="A753" s="5" t="s">
        <v>80</v>
      </c>
      <c r="B753" s="5">
        <v>2013</v>
      </c>
      <c r="C753" s="5" t="s">
        <v>81</v>
      </c>
      <c r="D753" s="9">
        <v>533.44100300000002</v>
      </c>
      <c r="E753" s="7">
        <f t="shared" si="12"/>
        <v>469000944.58760333</v>
      </c>
      <c r="F753" s="7">
        <v>48040101.211544707</v>
      </c>
      <c r="G753" s="7">
        <v>50761644.848542497</v>
      </c>
      <c r="H753" s="7"/>
      <c r="I753" s="7">
        <v>98801746.060087204</v>
      </c>
      <c r="J753" s="6">
        <v>14.663323807522911</v>
      </c>
      <c r="K753" s="7">
        <v>2700.7380780525882</v>
      </c>
      <c r="L753" s="7">
        <v>6714051</v>
      </c>
      <c r="M753" s="6">
        <v>31.6292802</v>
      </c>
      <c r="N753" s="6">
        <v>29.784108799999998</v>
      </c>
      <c r="O753" s="6">
        <v>64.152924099999993</v>
      </c>
      <c r="P753" s="6">
        <v>40.152065499999999</v>
      </c>
      <c r="Q753" s="6">
        <v>42.129791500000003</v>
      </c>
      <c r="R753" s="6">
        <v>51.178781299999997</v>
      </c>
      <c r="S753" s="5">
        <v>0</v>
      </c>
      <c r="T753" s="5">
        <v>0</v>
      </c>
      <c r="U753" s="5">
        <v>0</v>
      </c>
    </row>
    <row r="754" spans="1:21" x14ac:dyDescent="0.3">
      <c r="A754" s="2" t="s">
        <v>80</v>
      </c>
      <c r="B754" s="2">
        <v>2014</v>
      </c>
      <c r="C754" s="2" t="s">
        <v>81</v>
      </c>
      <c r="D754" s="8">
        <v>976.227577</v>
      </c>
      <c r="E754" s="4">
        <f t="shared" si="12"/>
        <v>858298580.66884899</v>
      </c>
      <c r="F754" s="4">
        <v>10300193.77535164</v>
      </c>
      <c r="G754" s="4">
        <v>13608326.016854599</v>
      </c>
      <c r="H754" s="4"/>
      <c r="I754" s="4">
        <v>23908519.792206239</v>
      </c>
      <c r="J754" s="3">
        <v>-7.8150151245724118</v>
      </c>
      <c r="K754" s="4">
        <v>2762.0455374594808</v>
      </c>
      <c r="L754" s="4">
        <v>6876385</v>
      </c>
      <c r="M754" s="3">
        <v>30.806733000000001</v>
      </c>
      <c r="N754" s="3">
        <v>30.9604681</v>
      </c>
      <c r="O754" s="3">
        <v>63.5936418</v>
      </c>
      <c r="P754" s="3">
        <v>40.836168200000003</v>
      </c>
      <c r="Q754" s="3">
        <v>41.571321400000002</v>
      </c>
      <c r="R754" s="3">
        <v>51.555905600000003</v>
      </c>
      <c r="S754" s="2">
        <v>0</v>
      </c>
      <c r="T754" s="2">
        <v>0</v>
      </c>
      <c r="U754" s="2">
        <v>0</v>
      </c>
    </row>
    <row r="755" spans="1:21" x14ac:dyDescent="0.3">
      <c r="A755" s="5" t="s">
        <v>80</v>
      </c>
      <c r="B755" s="5">
        <v>2015</v>
      </c>
      <c r="C755" s="5" t="s">
        <v>81</v>
      </c>
      <c r="D755" s="9">
        <v>1192.4278529999999</v>
      </c>
      <c r="E755" s="7">
        <f t="shared" si="12"/>
        <v>1048381707.1886537</v>
      </c>
      <c r="F755" s="7">
        <v>18914832.449683569</v>
      </c>
      <c r="G755" s="7">
        <v>0</v>
      </c>
      <c r="H755" s="7"/>
      <c r="I755" s="7">
        <v>18914832.449683569</v>
      </c>
      <c r="J755" s="6">
        <v>-4.3633326209378822</v>
      </c>
      <c r="K755" s="7">
        <v>2560.0498580759272</v>
      </c>
      <c r="L755" s="7">
        <v>7037655</v>
      </c>
      <c r="M755" s="6">
        <v>31.685715600000002</v>
      </c>
      <c r="N755" s="6">
        <v>28.950984999999999</v>
      </c>
      <c r="O755" s="6">
        <v>65.479370199999991</v>
      </c>
      <c r="P755" s="6">
        <v>40.281160900000003</v>
      </c>
      <c r="Q755" s="6">
        <v>43.379944299999998</v>
      </c>
      <c r="R755" s="6">
        <v>50.338535800000002</v>
      </c>
      <c r="S755" s="5">
        <v>0</v>
      </c>
      <c r="T755" s="5">
        <v>0</v>
      </c>
      <c r="U755" s="5">
        <v>0</v>
      </c>
    </row>
    <row r="756" spans="1:21" x14ac:dyDescent="0.3">
      <c r="A756" s="2" t="s">
        <v>80</v>
      </c>
      <c r="B756" s="2">
        <v>2016</v>
      </c>
      <c r="C756" s="2" t="s">
        <v>81</v>
      </c>
      <c r="D756" s="8">
        <v>883.12135599999999</v>
      </c>
      <c r="E756" s="4">
        <f t="shared" si="12"/>
        <v>776439658.40677059</v>
      </c>
      <c r="F756" s="4">
        <v>68670893.631235898</v>
      </c>
      <c r="G756" s="4">
        <v>194832743.87914699</v>
      </c>
      <c r="H756" s="4"/>
      <c r="I756" s="4">
        <v>263503637.51038289</v>
      </c>
      <c r="J756" s="3">
        <v>6.4374365276425749</v>
      </c>
      <c r="K756" s="4">
        <v>2634.9252433025022</v>
      </c>
      <c r="L756" s="4">
        <v>7205328</v>
      </c>
      <c r="M756" s="3">
        <v>31.122442299999999</v>
      </c>
      <c r="N756" s="3">
        <v>31.0381897</v>
      </c>
      <c r="O756" s="3">
        <v>61.276082000000002</v>
      </c>
      <c r="P756" s="3">
        <v>40.454427299999999</v>
      </c>
      <c r="Q756" s="3">
        <v>43.153284499999998</v>
      </c>
      <c r="R756" s="3">
        <v>50.258152099999997</v>
      </c>
      <c r="S756" s="2">
        <v>0</v>
      </c>
      <c r="T756" s="2">
        <v>0</v>
      </c>
      <c r="U756" s="2">
        <v>0</v>
      </c>
    </row>
    <row r="757" spans="1:21" x14ac:dyDescent="0.3">
      <c r="A757" s="5" t="s">
        <v>80</v>
      </c>
      <c r="B757" s="5">
        <v>2017</v>
      </c>
      <c r="C757" s="5" t="s">
        <v>81</v>
      </c>
      <c r="D757" s="9">
        <v>701.71475899999996</v>
      </c>
      <c r="E757" s="7">
        <f t="shared" si="12"/>
        <v>616947109.33584237</v>
      </c>
      <c r="F757" s="7">
        <v>1153951.4304407991</v>
      </c>
      <c r="G757" s="7">
        <v>759390845.47682106</v>
      </c>
      <c r="H757" s="7"/>
      <c r="I757" s="7">
        <v>760544796.90726185</v>
      </c>
      <c r="J757" s="6">
        <v>3.2078608771598738</v>
      </c>
      <c r="K757" s="7">
        <v>2501.4531554481969</v>
      </c>
      <c r="L757" s="7">
        <v>7379299</v>
      </c>
      <c r="M757" s="6">
        <v>34.392031000000003</v>
      </c>
      <c r="N757" s="6">
        <v>31.569466500000001</v>
      </c>
      <c r="O757" s="6">
        <v>63.381730899999987</v>
      </c>
      <c r="P757" s="6">
        <v>40.373051500000003</v>
      </c>
      <c r="Q757" s="6">
        <v>43.926375499999999</v>
      </c>
      <c r="R757" s="6">
        <v>50.290094099999997</v>
      </c>
      <c r="S757" s="5">
        <v>0</v>
      </c>
      <c r="T757" s="5">
        <v>0</v>
      </c>
      <c r="U757" s="5">
        <v>0</v>
      </c>
    </row>
    <row r="758" spans="1:21" x14ac:dyDescent="0.3">
      <c r="A758" s="2" t="s">
        <v>80</v>
      </c>
      <c r="B758" s="2">
        <v>2018</v>
      </c>
      <c r="C758" s="2" t="s">
        <v>81</v>
      </c>
      <c r="D758" s="8">
        <v>628.07877399999995</v>
      </c>
      <c r="E758" s="4">
        <f t="shared" si="12"/>
        <v>552206404.50359941</v>
      </c>
      <c r="F758" s="4">
        <v>13952045.487567199</v>
      </c>
      <c r="G758" s="4">
        <v>0</v>
      </c>
      <c r="H758" s="4"/>
      <c r="I758" s="4">
        <v>13952045.487567199</v>
      </c>
      <c r="J758" s="3">
        <v>2.8938564123676969</v>
      </c>
      <c r="K758" s="4">
        <v>2640.4756678764579</v>
      </c>
      <c r="L758" s="4">
        <v>7554563</v>
      </c>
      <c r="M758" s="3">
        <v>37.094891199999999</v>
      </c>
      <c r="N758" s="3">
        <v>32.390612699999998</v>
      </c>
      <c r="O758" s="3">
        <v>62.366163099999987</v>
      </c>
      <c r="P758" s="3">
        <v>40.391704399999988</v>
      </c>
      <c r="Q758" s="3">
        <v>44.285846900000003</v>
      </c>
      <c r="R758" s="3">
        <v>52.077588300000002</v>
      </c>
      <c r="S758" s="2">
        <v>0</v>
      </c>
      <c r="T758" s="2">
        <v>0</v>
      </c>
      <c r="U758" s="2">
        <v>0</v>
      </c>
    </row>
    <row r="759" spans="1:21" x14ac:dyDescent="0.3">
      <c r="A759" s="5" t="s">
        <v>80</v>
      </c>
      <c r="B759" s="5">
        <v>2019</v>
      </c>
      <c r="C759" s="5" t="s">
        <v>81</v>
      </c>
      <c r="D759" s="9">
        <v>688.37758899999994</v>
      </c>
      <c r="E759" s="7">
        <f t="shared" si="12"/>
        <v>605221079.10391915</v>
      </c>
      <c r="F759" s="7">
        <v>148403353.97248089</v>
      </c>
      <c r="G759" s="7">
        <v>1123564.61226213</v>
      </c>
      <c r="H759" s="7"/>
      <c r="I759" s="7">
        <v>149526918.58474299</v>
      </c>
      <c r="J759" s="6">
        <v>5.5027093737815278</v>
      </c>
      <c r="K759" s="7">
        <v>2704.0583586675621</v>
      </c>
      <c r="L759" s="7">
        <v>7731991</v>
      </c>
      <c r="M759" s="6">
        <v>37.472974800000003</v>
      </c>
      <c r="N759" s="6">
        <v>31.0425355</v>
      </c>
      <c r="O759" s="6">
        <v>63.142380099999997</v>
      </c>
      <c r="P759" s="6">
        <v>40.8066709</v>
      </c>
      <c r="Q759" s="6">
        <v>43.506935200000001</v>
      </c>
      <c r="R759" s="6">
        <v>51.259987600000002</v>
      </c>
      <c r="S759" s="5">
        <v>0</v>
      </c>
      <c r="T759" s="5">
        <v>0</v>
      </c>
      <c r="U759" s="5">
        <v>0</v>
      </c>
    </row>
    <row r="760" spans="1:21" x14ac:dyDescent="0.3">
      <c r="A760" s="2" t="s">
        <v>80</v>
      </c>
      <c r="B760" s="2">
        <v>2020</v>
      </c>
      <c r="C760" s="2" t="s">
        <v>81</v>
      </c>
      <c r="D760" s="8">
        <v>1014.365145</v>
      </c>
      <c r="E760" s="4">
        <f t="shared" si="12"/>
        <v>891829102.91157579</v>
      </c>
      <c r="F760" s="4">
        <v>5975.0779627725706</v>
      </c>
      <c r="G760" s="4">
        <v>0</v>
      </c>
      <c r="H760" s="4"/>
      <c r="I760" s="4">
        <v>5975.0779627725706</v>
      </c>
      <c r="J760" s="3">
        <v>-1.253349032276603</v>
      </c>
      <c r="K760" s="4">
        <v>2719.0728681580681</v>
      </c>
      <c r="L760" s="4">
        <v>7912558</v>
      </c>
      <c r="M760" s="3">
        <v>38.520615900000003</v>
      </c>
      <c r="N760" s="3">
        <v>32.732916899999999</v>
      </c>
      <c r="O760" s="3">
        <v>59.627149000000003</v>
      </c>
      <c r="P760" s="3">
        <v>40.594605299999998</v>
      </c>
      <c r="Q760" s="3">
        <v>45.351989699999997</v>
      </c>
      <c r="R760" s="3">
        <v>52.104936000000002</v>
      </c>
      <c r="S760" s="2">
        <v>0</v>
      </c>
      <c r="T760" s="2">
        <v>0</v>
      </c>
      <c r="U760" s="2">
        <v>0</v>
      </c>
    </row>
    <row r="761" spans="1:21" x14ac:dyDescent="0.3">
      <c r="A761" s="5" t="s">
        <v>80</v>
      </c>
      <c r="B761" s="5">
        <v>2021</v>
      </c>
      <c r="C761" s="5" t="s">
        <v>81</v>
      </c>
      <c r="D761" s="9">
        <v>768.14403400000003</v>
      </c>
      <c r="E761" s="7">
        <f t="shared" si="12"/>
        <v>675351679.94075644</v>
      </c>
      <c r="F761" s="7">
        <v>50060458.680209927</v>
      </c>
      <c r="G761" s="7">
        <v>2000000000</v>
      </c>
      <c r="H761" s="7"/>
      <c r="I761" s="7">
        <v>2050060458.6802101</v>
      </c>
      <c r="J761" s="6">
        <v>5.8968527047094028</v>
      </c>
      <c r="K761" s="7">
        <v>2849.3886592643589</v>
      </c>
      <c r="L761" s="7">
        <v>8094602</v>
      </c>
      <c r="M761" s="6">
        <v>38.179313200000003</v>
      </c>
      <c r="N761" s="6">
        <v>31.659577800000001</v>
      </c>
      <c r="O761" s="6">
        <v>61.850794099999987</v>
      </c>
      <c r="P761" s="6">
        <v>40.455966599999996</v>
      </c>
      <c r="Q761" s="6">
        <v>43.899704100000001</v>
      </c>
      <c r="R761" s="6">
        <v>51.956348599999998</v>
      </c>
      <c r="S761" s="5">
        <v>0</v>
      </c>
      <c r="T761" s="5">
        <v>0</v>
      </c>
      <c r="U761" s="5">
        <v>0</v>
      </c>
    </row>
    <row r="762" spans="1:21" x14ac:dyDescent="0.3">
      <c r="A762" s="5" t="s">
        <v>82</v>
      </c>
      <c r="B762" s="5">
        <v>2002</v>
      </c>
      <c r="C762" s="5" t="s">
        <v>83</v>
      </c>
      <c r="D762" s="9">
        <v>179.899878</v>
      </c>
      <c r="E762" s="7">
        <f t="shared" si="12"/>
        <v>158167842.81427765</v>
      </c>
      <c r="F762" s="7"/>
      <c r="G762" s="7"/>
      <c r="H762" s="7"/>
      <c r="I762" s="7"/>
      <c r="J762" s="6">
        <v>7.6302672932636852</v>
      </c>
      <c r="K762" s="7">
        <v>517.47520610474226</v>
      </c>
      <c r="L762" s="7">
        <v>9550063</v>
      </c>
      <c r="M762" s="6">
        <v>19.639269899999999</v>
      </c>
      <c r="N762" s="6">
        <v>14.050978000000001</v>
      </c>
      <c r="O762" s="6">
        <v>27.5053737</v>
      </c>
      <c r="P762" s="6">
        <v>19.483894800000002</v>
      </c>
      <c r="Q762" s="6">
        <v>13.8290927</v>
      </c>
      <c r="R762" s="6">
        <v>26.8775397</v>
      </c>
      <c r="S762" s="5">
        <v>1</v>
      </c>
      <c r="T762" s="5">
        <v>1</v>
      </c>
      <c r="U762" s="5">
        <v>0</v>
      </c>
    </row>
    <row r="763" spans="1:21" x14ac:dyDescent="0.3">
      <c r="A763" s="2" t="s">
        <v>82</v>
      </c>
      <c r="B763" s="2">
        <v>2003</v>
      </c>
      <c r="C763" s="2" t="s">
        <v>83</v>
      </c>
      <c r="D763" s="8">
        <v>217.73773399999999</v>
      </c>
      <c r="E763" s="4">
        <f t="shared" si="12"/>
        <v>191434858.48305574</v>
      </c>
      <c r="F763" s="4"/>
      <c r="G763" s="4"/>
      <c r="H763" s="4"/>
      <c r="I763" s="4"/>
      <c r="J763" s="3">
        <v>7.6302672934069449</v>
      </c>
      <c r="K763" s="4">
        <v>547.37415477777063</v>
      </c>
      <c r="L763" s="4">
        <v>9909157</v>
      </c>
      <c r="M763" s="3">
        <v>15.2412966</v>
      </c>
      <c r="N763" s="3">
        <v>8.6960230000000003</v>
      </c>
      <c r="O763" s="3">
        <v>21.889838600000001</v>
      </c>
      <c r="P763" s="3">
        <v>18.3751891</v>
      </c>
      <c r="Q763" s="3">
        <v>13.7996056</v>
      </c>
      <c r="R763" s="3">
        <v>27.1532284</v>
      </c>
      <c r="S763" s="2">
        <v>0</v>
      </c>
      <c r="T763" s="2">
        <v>0</v>
      </c>
      <c r="U763" s="2">
        <v>0</v>
      </c>
    </row>
    <row r="764" spans="1:21" x14ac:dyDescent="0.3">
      <c r="A764" s="5" t="s">
        <v>82</v>
      </c>
      <c r="B764" s="5">
        <v>2004</v>
      </c>
      <c r="C764" s="5" t="s">
        <v>83</v>
      </c>
      <c r="D764" s="9">
        <v>240.27725100000001</v>
      </c>
      <c r="E764" s="7">
        <f t="shared" si="12"/>
        <v>211251585.55146286</v>
      </c>
      <c r="F764" s="7"/>
      <c r="G764" s="7"/>
      <c r="H764" s="7"/>
      <c r="I764" s="7">
        <v>310319.49521954881</v>
      </c>
      <c r="J764" s="6">
        <v>7.110314311278529</v>
      </c>
      <c r="K764" s="7">
        <v>580.28495553912865</v>
      </c>
      <c r="L764" s="7">
        <v>10280998</v>
      </c>
      <c r="M764" s="6">
        <v>14.5724272</v>
      </c>
      <c r="N764" s="6">
        <v>13.935387199999999</v>
      </c>
      <c r="O764" s="6">
        <v>20.7562079</v>
      </c>
      <c r="P764" s="6">
        <v>24.909086800000001</v>
      </c>
      <c r="Q764" s="6">
        <v>14.188836</v>
      </c>
      <c r="R764" s="6">
        <v>25.446964999999999</v>
      </c>
      <c r="S764" s="5">
        <v>0</v>
      </c>
      <c r="T764" s="5">
        <v>0</v>
      </c>
      <c r="U764" s="5">
        <v>0</v>
      </c>
    </row>
    <row r="765" spans="1:21" x14ac:dyDescent="0.3">
      <c r="A765" s="2" t="s">
        <v>82</v>
      </c>
      <c r="B765" s="2">
        <v>2005</v>
      </c>
      <c r="C765" s="2" t="s">
        <v>83</v>
      </c>
      <c r="D765" s="8">
        <v>273.65210100000002</v>
      </c>
      <c r="E765" s="4">
        <f t="shared" si="12"/>
        <v>240594729.56821474</v>
      </c>
      <c r="F765" s="4"/>
      <c r="G765" s="4"/>
      <c r="H765" s="4"/>
      <c r="I765" s="4">
        <v>6727723.3838038547</v>
      </c>
      <c r="J765" s="3">
        <v>7.1103143113210336</v>
      </c>
      <c r="K765" s="4">
        <v>619.15829842065546</v>
      </c>
      <c r="L765" s="4">
        <v>10644228</v>
      </c>
      <c r="M765" s="3">
        <v>14.2986342</v>
      </c>
      <c r="N765" s="3">
        <v>11.9190326</v>
      </c>
      <c r="O765" s="3">
        <v>21.507964000000001</v>
      </c>
      <c r="P765" s="3">
        <v>24.6083511</v>
      </c>
      <c r="Q765" s="3">
        <v>16.599988400000001</v>
      </c>
      <c r="R765" s="3">
        <v>26.637514100000001</v>
      </c>
      <c r="S765" s="2">
        <v>0</v>
      </c>
      <c r="T765" s="2">
        <v>0</v>
      </c>
      <c r="U765" s="2">
        <v>0</v>
      </c>
    </row>
    <row r="766" spans="1:21" x14ac:dyDescent="0.3">
      <c r="A766" s="5" t="s">
        <v>82</v>
      </c>
      <c r="B766" s="5">
        <v>2006</v>
      </c>
      <c r="C766" s="5" t="s">
        <v>83</v>
      </c>
      <c r="D766" s="9">
        <v>471.07082600000001</v>
      </c>
      <c r="E766" s="7">
        <f t="shared" si="12"/>
        <v>414165130.01281703</v>
      </c>
      <c r="F766" s="7"/>
      <c r="G766" s="7"/>
      <c r="H766" s="7"/>
      <c r="I766" s="7"/>
      <c r="J766" s="6">
        <v>6.4863707326644686</v>
      </c>
      <c r="K766" s="7">
        <v>659.13758050418085</v>
      </c>
      <c r="L766" s="7">
        <v>10975502</v>
      </c>
      <c r="M766" s="6">
        <v>14.3814949</v>
      </c>
      <c r="N766" s="6">
        <v>11.9006425</v>
      </c>
      <c r="O766" s="6">
        <v>21.126923099999999</v>
      </c>
      <c r="P766" s="6">
        <v>22.305089599999999</v>
      </c>
      <c r="Q766" s="6">
        <v>14.1098664</v>
      </c>
      <c r="R766" s="6">
        <v>26.939507200000001</v>
      </c>
      <c r="S766" s="5">
        <v>1</v>
      </c>
      <c r="T766" s="5">
        <v>1</v>
      </c>
      <c r="U766" s="5">
        <v>0</v>
      </c>
    </row>
    <row r="767" spans="1:21" x14ac:dyDescent="0.3">
      <c r="A767" s="2" t="s">
        <v>82</v>
      </c>
      <c r="B767" s="2">
        <v>2007</v>
      </c>
      <c r="C767" s="2" t="s">
        <v>83</v>
      </c>
      <c r="D767" s="8">
        <v>419.40706599999999</v>
      </c>
      <c r="E767" s="4">
        <f t="shared" si="12"/>
        <v>368742389.53227836</v>
      </c>
      <c r="F767" s="4"/>
      <c r="G767" s="4"/>
      <c r="H767" s="4"/>
      <c r="I767" s="4">
        <v>237502.89854070099</v>
      </c>
      <c r="J767" s="3">
        <v>6.6943519255700474</v>
      </c>
      <c r="K767" s="4">
        <v>700.17405796518653</v>
      </c>
      <c r="L767" s="4">
        <v>11322582</v>
      </c>
      <c r="M767" s="3">
        <v>14.349932300000001</v>
      </c>
      <c r="N767" s="3">
        <v>11.928451300000001</v>
      </c>
      <c r="O767" s="3">
        <v>13.763173200000001</v>
      </c>
      <c r="P767" s="3">
        <v>22.3241604</v>
      </c>
      <c r="Q767" s="3">
        <v>14.160453800000001</v>
      </c>
      <c r="R767" s="3">
        <v>24.669252400000001</v>
      </c>
      <c r="S767" s="2">
        <v>1</v>
      </c>
      <c r="T767" s="2">
        <v>2</v>
      </c>
      <c r="U767" s="2">
        <v>1</v>
      </c>
    </row>
    <row r="768" spans="1:21" x14ac:dyDescent="0.3">
      <c r="A768" s="5" t="s">
        <v>82</v>
      </c>
      <c r="B768" s="5">
        <v>2008</v>
      </c>
      <c r="C768" s="5" t="s">
        <v>83</v>
      </c>
      <c r="D768" s="9">
        <v>846.83311100000003</v>
      </c>
      <c r="E768" s="7">
        <f t="shared" si="12"/>
        <v>744535059.61006665</v>
      </c>
      <c r="F768" s="7"/>
      <c r="G768" s="7"/>
      <c r="H768" s="7"/>
      <c r="I768" s="7">
        <v>2286878.8829235751</v>
      </c>
      <c r="J768" s="6">
        <v>6.69435192576573</v>
      </c>
      <c r="K768" s="7">
        <v>739.20946933510368</v>
      </c>
      <c r="L768" s="7">
        <v>11663084</v>
      </c>
      <c r="M768" s="6">
        <v>13.729984699999999</v>
      </c>
      <c r="N768" s="6">
        <v>12.0506025</v>
      </c>
      <c r="O768" s="6">
        <v>14.4324355</v>
      </c>
      <c r="P768" s="6">
        <v>21.8021043</v>
      </c>
      <c r="Q768" s="6">
        <v>14.507326900000001</v>
      </c>
      <c r="R768" s="6">
        <v>24.851486600000001</v>
      </c>
      <c r="S768" s="5">
        <v>1</v>
      </c>
      <c r="T768" s="5">
        <v>2</v>
      </c>
      <c r="U768" s="5">
        <v>1</v>
      </c>
    </row>
    <row r="769" spans="1:21" x14ac:dyDescent="0.3">
      <c r="A769" s="2" t="s">
        <v>82</v>
      </c>
      <c r="B769" s="2">
        <v>2009</v>
      </c>
      <c r="C769" s="2" t="s">
        <v>83</v>
      </c>
      <c r="D769" s="8">
        <v>747.15061500000002</v>
      </c>
      <c r="E769" s="4">
        <f t="shared" si="12"/>
        <v>656894281.11736047</v>
      </c>
      <c r="F769" s="4"/>
      <c r="G769" s="4"/>
      <c r="H769" s="4"/>
      <c r="I769" s="4">
        <v>970870.18182241195</v>
      </c>
      <c r="J769" s="3">
        <v>6.6943519255731729</v>
      </c>
      <c r="K769" s="4">
        <v>773.78086219289287</v>
      </c>
      <c r="L769" s="4">
        <v>11961201</v>
      </c>
      <c r="M769" s="3">
        <v>15.747264100000001</v>
      </c>
      <c r="N769" s="3">
        <v>14.1449704</v>
      </c>
      <c r="O769" s="3">
        <v>16.6905018</v>
      </c>
      <c r="P769" s="3">
        <v>22.431007099999999</v>
      </c>
      <c r="Q769" s="3">
        <v>16.053672500000001</v>
      </c>
      <c r="R769" s="3">
        <v>24.012368200000001</v>
      </c>
      <c r="S769" s="2">
        <v>1</v>
      </c>
      <c r="T769" s="2">
        <v>2</v>
      </c>
      <c r="U769" s="2">
        <v>1</v>
      </c>
    </row>
    <row r="770" spans="1:21" x14ac:dyDescent="0.3">
      <c r="A770" s="5" t="s">
        <v>82</v>
      </c>
      <c r="B770" s="5">
        <v>2010</v>
      </c>
      <c r="C770" s="5" t="s">
        <v>83</v>
      </c>
      <c r="D770" s="9">
        <v>551.68754999999999</v>
      </c>
      <c r="E770" s="7">
        <f t="shared" si="12"/>
        <v>485043295.53238457</v>
      </c>
      <c r="F770" s="7"/>
      <c r="G770" s="7"/>
      <c r="H770" s="7"/>
      <c r="J770" s="6">
        <v>6.6943519255587773</v>
      </c>
      <c r="K770" s="7">
        <v>815.13143599487432</v>
      </c>
      <c r="L770" s="7">
        <v>12261756</v>
      </c>
      <c r="M770" s="6">
        <v>13.756383700000001</v>
      </c>
      <c r="N770" s="6">
        <v>10.8098893</v>
      </c>
      <c r="O770" s="6">
        <v>15.8830733</v>
      </c>
      <c r="P770" s="6">
        <v>20.7066987</v>
      </c>
      <c r="Q770" s="6">
        <v>15.9177819</v>
      </c>
      <c r="R770" s="6">
        <v>24.321327400000001</v>
      </c>
      <c r="S770" s="5">
        <v>1</v>
      </c>
      <c r="T770" s="5">
        <v>2</v>
      </c>
      <c r="U770" s="5">
        <v>1</v>
      </c>
    </row>
    <row r="771" spans="1:21" x14ac:dyDescent="0.3">
      <c r="A771" s="2" t="s">
        <v>82</v>
      </c>
      <c r="B771" s="2">
        <v>2011</v>
      </c>
      <c r="C771" s="2" t="s">
        <v>83</v>
      </c>
      <c r="D771" s="8">
        <v>1025.5603289999999</v>
      </c>
      <c r="E771" s="4">
        <f t="shared" si="12"/>
        <v>901671900.59923673</v>
      </c>
      <c r="F771" s="4"/>
      <c r="G771" s="4"/>
      <c r="H771" s="4"/>
      <c r="I771" s="4">
        <v>19633766.562006898</v>
      </c>
      <c r="J771" s="3">
        <v>6.6943519256585517</v>
      </c>
      <c r="K771" s="4">
        <v>881.38311305094066</v>
      </c>
      <c r="L771" s="4">
        <v>12348830</v>
      </c>
      <c r="M771" s="3">
        <v>14.222619099999999</v>
      </c>
      <c r="N771" s="3">
        <v>10.6819243</v>
      </c>
      <c r="O771" s="3">
        <v>14.3675459</v>
      </c>
      <c r="P771" s="3">
        <v>20.190954399999999</v>
      </c>
      <c r="Q771" s="3">
        <v>15.994665599999999</v>
      </c>
      <c r="R771" s="3">
        <v>25.452441499999999</v>
      </c>
      <c r="S771" s="2">
        <v>1</v>
      </c>
      <c r="T771" s="2">
        <v>2</v>
      </c>
      <c r="U771" s="2">
        <v>1</v>
      </c>
    </row>
    <row r="772" spans="1:21" x14ac:dyDescent="0.3">
      <c r="A772" s="5" t="s">
        <v>82</v>
      </c>
      <c r="B772" s="5">
        <v>2012</v>
      </c>
      <c r="C772" s="5" t="s">
        <v>83</v>
      </c>
      <c r="D772" s="9">
        <v>990.354826</v>
      </c>
      <c r="E772" s="7">
        <f t="shared" si="12"/>
        <v>870719247.78697884</v>
      </c>
      <c r="F772" s="7"/>
      <c r="G772" s="7"/>
      <c r="H772" s="7"/>
      <c r="J772" s="6">
        <v>6.6943519255335806</v>
      </c>
      <c r="K772" s="7">
        <v>1002.932265714703</v>
      </c>
      <c r="L772" s="7">
        <v>12461160</v>
      </c>
      <c r="M772" s="6">
        <v>14.4754845</v>
      </c>
      <c r="N772" s="6">
        <v>11.1874825</v>
      </c>
      <c r="O772" s="6">
        <v>16.333865299999999</v>
      </c>
      <c r="P772" s="6">
        <v>21.588838500000001</v>
      </c>
      <c r="Q772" s="6">
        <v>16.437073600000002</v>
      </c>
      <c r="R772" s="6">
        <v>25.2868207</v>
      </c>
      <c r="S772" s="5">
        <v>1</v>
      </c>
      <c r="T772" s="5">
        <v>2</v>
      </c>
      <c r="U772" s="5">
        <v>1</v>
      </c>
    </row>
    <row r="773" spans="1:21" x14ac:dyDescent="0.3">
      <c r="A773" s="2" t="s">
        <v>82</v>
      </c>
      <c r="B773" s="2">
        <v>2013</v>
      </c>
      <c r="C773" s="2" t="s">
        <v>83</v>
      </c>
      <c r="D773" s="8">
        <v>1017.038672</v>
      </c>
      <c r="E773" s="4">
        <f t="shared" si="12"/>
        <v>894179665.91916013</v>
      </c>
      <c r="F773" s="4"/>
      <c r="G773" s="4"/>
      <c r="H773" s="4"/>
      <c r="I773" s="4"/>
      <c r="J773" s="3">
        <v>10.95929861647468</v>
      </c>
      <c r="K773" s="4">
        <v>944.40456728032382</v>
      </c>
      <c r="L773" s="4">
        <v>12869594</v>
      </c>
      <c r="M773" s="3">
        <v>14.547117200000001</v>
      </c>
      <c r="N773" s="3">
        <v>10.695509899999999</v>
      </c>
      <c r="O773" s="3">
        <v>17.188503900000001</v>
      </c>
      <c r="P773" s="3">
        <v>19.8878545</v>
      </c>
      <c r="Q773" s="3">
        <v>16.387255499999998</v>
      </c>
      <c r="R773" s="3">
        <v>25.2109369</v>
      </c>
      <c r="S773" s="2">
        <v>1</v>
      </c>
      <c r="T773" s="2">
        <v>1</v>
      </c>
      <c r="U773" s="2">
        <v>0</v>
      </c>
    </row>
    <row r="774" spans="1:21" x14ac:dyDescent="0.3">
      <c r="A774" s="5" t="s">
        <v>82</v>
      </c>
      <c r="B774" s="5">
        <v>2014</v>
      </c>
      <c r="C774" s="5" t="s">
        <v>83</v>
      </c>
      <c r="D774" s="9">
        <v>1097.559051</v>
      </c>
      <c r="E774" s="7">
        <f t="shared" si="12"/>
        <v>964973124.98430765</v>
      </c>
      <c r="F774" s="7"/>
      <c r="G774" s="7"/>
      <c r="H774" s="7"/>
      <c r="I774" s="7">
        <v>44283.809256339402</v>
      </c>
      <c r="J774" s="6">
        <v>8.9780059057320614</v>
      </c>
      <c r="K774" s="7">
        <v>1127.7192220033769</v>
      </c>
      <c r="L774" s="7">
        <v>13339491</v>
      </c>
      <c r="M774" s="6">
        <v>12.6356565</v>
      </c>
      <c r="N774" s="6">
        <v>8.4537912999999989</v>
      </c>
      <c r="O774" s="6">
        <v>24.266799599999999</v>
      </c>
      <c r="P774" s="6">
        <v>22.043429199999999</v>
      </c>
      <c r="Q774" s="6">
        <v>18.611878300000001</v>
      </c>
      <c r="R774" s="6">
        <v>25.581065599999999</v>
      </c>
      <c r="S774" s="5">
        <v>1</v>
      </c>
      <c r="T774" s="5">
        <v>2</v>
      </c>
      <c r="U774" s="5">
        <v>1</v>
      </c>
    </row>
    <row r="775" spans="1:21" x14ac:dyDescent="0.3">
      <c r="A775" s="2" t="s">
        <v>82</v>
      </c>
      <c r="B775" s="2">
        <v>2015</v>
      </c>
      <c r="C775" s="2" t="s">
        <v>83</v>
      </c>
      <c r="D775" s="8">
        <v>1448.8676989999999</v>
      </c>
      <c r="E775" s="4">
        <f t="shared" si="12"/>
        <v>1273843434.5915236</v>
      </c>
      <c r="F775" s="4"/>
      <c r="G775" s="4"/>
      <c r="H775" s="4"/>
      <c r="I775" s="4">
        <v>2289442.1619410585</v>
      </c>
      <c r="J775" s="3">
        <v>10.462188123516601</v>
      </c>
      <c r="K775" s="4">
        <v>1341.389996787279</v>
      </c>
      <c r="L775" s="4">
        <v>13806963</v>
      </c>
      <c r="M775" s="3">
        <v>12.841267999999999</v>
      </c>
      <c r="N775" s="3">
        <v>11.461396199999999</v>
      </c>
      <c r="O775" s="3">
        <v>26.921715899999999</v>
      </c>
      <c r="P775" s="3">
        <v>22.737392199999999</v>
      </c>
      <c r="Q775" s="3">
        <v>19.1801396</v>
      </c>
      <c r="R775" s="3">
        <v>25.829441599999999</v>
      </c>
      <c r="S775" s="2">
        <v>1</v>
      </c>
      <c r="T775" s="2">
        <v>2</v>
      </c>
      <c r="U775" s="2">
        <v>1</v>
      </c>
    </row>
    <row r="776" spans="1:21" x14ac:dyDescent="0.3">
      <c r="A776" s="5" t="s">
        <v>82</v>
      </c>
      <c r="B776" s="5">
        <v>2016</v>
      </c>
      <c r="C776" s="5" t="s">
        <v>83</v>
      </c>
      <c r="D776" s="9">
        <v>1427.963082</v>
      </c>
      <c r="E776" s="7">
        <f t="shared" si="12"/>
        <v>1255464110.4223952</v>
      </c>
      <c r="F776" s="7"/>
      <c r="G776" s="7"/>
      <c r="H776" s="7"/>
      <c r="I776" s="7">
        <v>2361609.0167169301</v>
      </c>
      <c r="J776" s="6">
        <v>7.0348726004204849</v>
      </c>
      <c r="K776" s="7">
        <v>1468.5043847460461</v>
      </c>
      <c r="L776" s="7">
        <v>14348740</v>
      </c>
      <c r="M776" s="6">
        <v>12.7357367</v>
      </c>
      <c r="N776" s="6">
        <v>12.906335800000001</v>
      </c>
      <c r="O776" s="6">
        <v>27.116142100000001</v>
      </c>
      <c r="P776" s="6">
        <v>21.9091576</v>
      </c>
      <c r="Q776" s="6">
        <v>18.4495039</v>
      </c>
      <c r="R776" s="6">
        <v>25.338978099999999</v>
      </c>
      <c r="S776" s="5">
        <v>1</v>
      </c>
      <c r="T776" s="5">
        <v>2</v>
      </c>
      <c r="U776" s="5">
        <v>1</v>
      </c>
    </row>
    <row r="777" spans="1:21" x14ac:dyDescent="0.3">
      <c r="A777" s="2" t="s">
        <v>82</v>
      </c>
      <c r="B777" s="2">
        <v>2017</v>
      </c>
      <c r="C777" s="2" t="s">
        <v>83</v>
      </c>
      <c r="D777" s="8">
        <v>2118.7192249999998</v>
      </c>
      <c r="E777" s="4">
        <f t="shared" si="12"/>
        <v>1862776412.4853275</v>
      </c>
      <c r="F777" s="4"/>
      <c r="G777" s="4"/>
      <c r="H777" s="4"/>
      <c r="I777" s="4">
        <v>15022456.384003876</v>
      </c>
      <c r="J777" s="3">
        <v>14.735795604528249</v>
      </c>
      <c r="K777" s="4">
        <v>1596.81409178022</v>
      </c>
      <c r="L777" s="4">
        <v>14916629</v>
      </c>
      <c r="M777" s="3">
        <v>13.001516199999999</v>
      </c>
      <c r="N777" s="3">
        <v>12.43294</v>
      </c>
      <c r="O777" s="3">
        <v>31.342141999999999</v>
      </c>
      <c r="P777" s="3">
        <v>21.9264273</v>
      </c>
      <c r="Q777" s="3">
        <v>17.0912197</v>
      </c>
      <c r="R777" s="3">
        <v>27.661176900000001</v>
      </c>
      <c r="S777" s="2">
        <v>1</v>
      </c>
      <c r="T777" s="2">
        <v>2</v>
      </c>
      <c r="U777" s="2">
        <v>1</v>
      </c>
    </row>
    <row r="778" spans="1:21" x14ac:dyDescent="0.3">
      <c r="A778" s="5" t="s">
        <v>82</v>
      </c>
      <c r="B778" s="5">
        <v>2018</v>
      </c>
      <c r="C778" s="5" t="s">
        <v>83</v>
      </c>
      <c r="D778" s="9">
        <v>1818.9221130000001</v>
      </c>
      <c r="E778" s="7">
        <f t="shared" si="12"/>
        <v>1599195008.1277862</v>
      </c>
      <c r="F778" s="7"/>
      <c r="G778" s="7"/>
      <c r="H778" s="7"/>
      <c r="I778" s="7">
        <v>8173873.1090900693</v>
      </c>
      <c r="J778" s="6">
        <v>2.0543150725945201</v>
      </c>
      <c r="K778" s="7">
        <v>1551.5277397747309</v>
      </c>
      <c r="L778" s="7">
        <v>15452487</v>
      </c>
      <c r="M778" s="6">
        <v>11.2901025</v>
      </c>
      <c r="N778" s="6">
        <v>11.810381400000001</v>
      </c>
      <c r="O778" s="6">
        <v>30.681055000000001</v>
      </c>
      <c r="P778" s="6">
        <v>23.669662899999999</v>
      </c>
      <c r="Q778" s="6">
        <v>17.297823900000001</v>
      </c>
      <c r="R778" s="6">
        <v>28.090329199999999</v>
      </c>
      <c r="S778" s="5">
        <v>1</v>
      </c>
      <c r="T778" s="5">
        <v>2</v>
      </c>
      <c r="U778" s="5">
        <v>1</v>
      </c>
    </row>
    <row r="779" spans="1:21" x14ac:dyDescent="0.3">
      <c r="A779" s="2" t="s">
        <v>82</v>
      </c>
      <c r="B779" s="2">
        <v>2019</v>
      </c>
      <c r="C779" s="2" t="s">
        <v>83</v>
      </c>
      <c r="D779" s="8">
        <v>2031.6143850000001</v>
      </c>
      <c r="E779" s="4">
        <f t="shared" si="12"/>
        <v>1786193900.0642643</v>
      </c>
      <c r="F779" s="4"/>
      <c r="G779" s="4"/>
      <c r="H779" s="4"/>
      <c r="I779" s="4"/>
      <c r="J779" s="3">
        <v>2.8003331251301229</v>
      </c>
      <c r="K779" s="4">
        <v>1548.2725094009841</v>
      </c>
      <c r="L779" s="4">
        <v>16030971</v>
      </c>
      <c r="M779" s="3">
        <v>14.773146300000001</v>
      </c>
      <c r="N779" s="3">
        <v>12.2348482</v>
      </c>
      <c r="O779" s="3">
        <v>30.5271191</v>
      </c>
      <c r="P779" s="3">
        <v>23.7353761</v>
      </c>
      <c r="Q779" s="3">
        <v>17.777816600000001</v>
      </c>
      <c r="R779" s="3">
        <v>28.510721400000001</v>
      </c>
      <c r="S779" s="2">
        <v>1</v>
      </c>
      <c r="T779" s="2">
        <v>2</v>
      </c>
      <c r="U779" s="2">
        <v>1</v>
      </c>
    </row>
    <row r="780" spans="1:21" x14ac:dyDescent="0.3">
      <c r="A780" s="5" t="s">
        <v>82</v>
      </c>
      <c r="B780" s="5">
        <v>2020</v>
      </c>
      <c r="C780" s="5" t="s">
        <v>83</v>
      </c>
      <c r="D780" s="9">
        <v>3874.6595240000001</v>
      </c>
      <c r="E780" s="7">
        <f t="shared" si="12"/>
        <v>3406597855.2296505</v>
      </c>
      <c r="F780" s="7"/>
      <c r="G780" s="7"/>
      <c r="H780" s="7"/>
      <c r="I780" s="7">
        <v>1444980.4662438501</v>
      </c>
      <c r="J780" s="6">
        <v>-2.7645569620253241</v>
      </c>
      <c r="K780" s="7">
        <v>1454.2671184885551</v>
      </c>
      <c r="L780" s="7">
        <v>16651191</v>
      </c>
      <c r="M780" s="6">
        <v>16.491122300000001</v>
      </c>
      <c r="N780" s="6">
        <v>13.640421399999999</v>
      </c>
      <c r="O780" s="6">
        <v>25.739746</v>
      </c>
      <c r="P780" s="6">
        <v>25.3921244</v>
      </c>
      <c r="Q780" s="6">
        <v>19.386575100000002</v>
      </c>
      <c r="R780" s="6">
        <v>27.693160899999999</v>
      </c>
      <c r="S780" s="5">
        <v>1</v>
      </c>
      <c r="T780" s="5">
        <v>2</v>
      </c>
      <c r="U780" s="5">
        <v>1</v>
      </c>
    </row>
    <row r="781" spans="1:21" x14ac:dyDescent="0.3">
      <c r="A781" s="2" t="s">
        <v>82</v>
      </c>
      <c r="B781" s="2">
        <v>2021</v>
      </c>
      <c r="C781" s="2" t="s">
        <v>83</v>
      </c>
      <c r="D781" s="8">
        <v>2687.6908699999999</v>
      </c>
      <c r="E781" s="4">
        <f t="shared" si="12"/>
        <v>2363015871.8591743</v>
      </c>
      <c r="F781" s="4"/>
      <c r="G781" s="4"/>
      <c r="H781" s="4"/>
      <c r="I781" s="4">
        <v>17300000</v>
      </c>
      <c r="J781" s="3">
        <v>3.447198500312425</v>
      </c>
      <c r="K781" s="4">
        <v>1392.3178205337049</v>
      </c>
      <c r="L781" s="4">
        <v>17271431</v>
      </c>
      <c r="M781" s="3">
        <v>15.4054716</v>
      </c>
      <c r="N781" s="3">
        <v>13.161277999999999</v>
      </c>
      <c r="O781" s="3">
        <v>21.363318700000001</v>
      </c>
      <c r="P781" s="3">
        <v>26.663212600000001</v>
      </c>
      <c r="Q781" s="3">
        <v>19.648888599999999</v>
      </c>
      <c r="R781" s="3">
        <v>27.853959799999998</v>
      </c>
      <c r="S781" s="2">
        <v>1</v>
      </c>
      <c r="T781" s="2">
        <v>2</v>
      </c>
      <c r="U781" s="2">
        <v>1</v>
      </c>
    </row>
    <row r="782" spans="1:21" x14ac:dyDescent="0.3">
      <c r="A782" s="2" t="s">
        <v>84</v>
      </c>
      <c r="B782" s="2">
        <v>2002</v>
      </c>
      <c r="C782" s="2" t="s">
        <v>85</v>
      </c>
      <c r="D782" s="8">
        <v>567.65139399999998</v>
      </c>
      <c r="E782" s="4">
        <f t="shared" si="12"/>
        <v>499078695.64812917</v>
      </c>
      <c r="F782" s="4">
        <v>0</v>
      </c>
      <c r="G782" s="4">
        <v>182460207.84626639</v>
      </c>
      <c r="H782" s="4"/>
      <c r="I782" s="4">
        <v>182460207.84626639</v>
      </c>
      <c r="J782" s="3">
        <v>3.7003744040666788</v>
      </c>
      <c r="K782" s="4">
        <v>8792.3558857426488</v>
      </c>
      <c r="L782" s="4">
        <v>48019415</v>
      </c>
      <c r="M782" s="3">
        <v>51.9269465</v>
      </c>
      <c r="N782" s="3">
        <v>59.684327499999988</v>
      </c>
      <c r="O782" s="3">
        <v>59.770976099999999</v>
      </c>
      <c r="P782" s="3">
        <v>67.677731999999992</v>
      </c>
      <c r="Q782" s="3">
        <v>58.2238799</v>
      </c>
      <c r="R782" s="3">
        <v>65.819270199999991</v>
      </c>
      <c r="S782" s="2">
        <v>0</v>
      </c>
      <c r="T782" s="2">
        <v>0</v>
      </c>
      <c r="U782" s="2">
        <v>0</v>
      </c>
    </row>
    <row r="783" spans="1:21" x14ac:dyDescent="0.3">
      <c r="A783" s="5" t="s">
        <v>84</v>
      </c>
      <c r="B783" s="5">
        <v>2003</v>
      </c>
      <c r="C783" s="5" t="s">
        <v>85</v>
      </c>
      <c r="D783" s="9">
        <v>631.87590899999998</v>
      </c>
      <c r="E783" s="7">
        <f t="shared" si="12"/>
        <v>555544842.85331643</v>
      </c>
      <c r="F783" s="7">
        <v>0</v>
      </c>
      <c r="G783" s="7">
        <v>126675314.4996838</v>
      </c>
      <c r="H783" s="7"/>
      <c r="I783" s="7">
        <v>126675314.4996838</v>
      </c>
      <c r="J783" s="6">
        <v>2.94907546754213</v>
      </c>
      <c r="K783" s="7">
        <v>9138.8282385501661</v>
      </c>
      <c r="L783" s="7">
        <v>48500348</v>
      </c>
      <c r="M783" s="6">
        <v>50.636981899999988</v>
      </c>
      <c r="N783" s="6">
        <v>60.233899100000002</v>
      </c>
      <c r="O783" s="6">
        <v>61.567196899999999</v>
      </c>
      <c r="P783" s="6">
        <v>68.1431513</v>
      </c>
      <c r="Q783" s="6">
        <v>58.576771600000001</v>
      </c>
      <c r="R783" s="6">
        <v>67.1723772</v>
      </c>
      <c r="S783" s="5">
        <v>0</v>
      </c>
      <c r="T783" s="5">
        <v>0</v>
      </c>
      <c r="U783" s="5">
        <v>0</v>
      </c>
    </row>
    <row r="784" spans="1:21" x14ac:dyDescent="0.3">
      <c r="A784" s="2" t="s">
        <v>84</v>
      </c>
      <c r="B784" s="2">
        <v>2004</v>
      </c>
      <c r="C784" s="2" t="s">
        <v>85</v>
      </c>
      <c r="D784" s="8">
        <v>586.65699300000006</v>
      </c>
      <c r="E784" s="4">
        <f t="shared" si="12"/>
        <v>515788404.56312466</v>
      </c>
      <c r="F784" s="4"/>
      <c r="G784" s="4">
        <v>167495431.2371096</v>
      </c>
      <c r="H784" s="4"/>
      <c r="I784" s="4">
        <v>167495431.2371096</v>
      </c>
      <c r="J784" s="3">
        <v>4.5545599072177367</v>
      </c>
      <c r="K784" s="4">
        <v>9713.6534846883442</v>
      </c>
      <c r="L784" s="4">
        <v>48991421</v>
      </c>
      <c r="M784" s="3">
        <v>52.322731300000001</v>
      </c>
      <c r="N784" s="3">
        <v>60.482381999999987</v>
      </c>
      <c r="O784" s="3">
        <v>65.626586199999991</v>
      </c>
      <c r="P784" s="3">
        <v>64.908117500000003</v>
      </c>
      <c r="Q784" s="3">
        <v>59.2475174</v>
      </c>
      <c r="R784" s="3">
        <v>68.376658699999993</v>
      </c>
      <c r="S784" s="2">
        <v>0</v>
      </c>
      <c r="T784" s="2">
        <v>0</v>
      </c>
      <c r="U784" s="2">
        <v>0</v>
      </c>
    </row>
    <row r="785" spans="1:21" x14ac:dyDescent="0.3">
      <c r="A785" s="5" t="s">
        <v>84</v>
      </c>
      <c r="B785" s="5">
        <v>2005</v>
      </c>
      <c r="C785" s="5" t="s">
        <v>85</v>
      </c>
      <c r="D785" s="9">
        <v>829.29395299999999</v>
      </c>
      <c r="E785" s="7">
        <f t="shared" si="12"/>
        <v>729114644.56321049</v>
      </c>
      <c r="F785" s="7"/>
      <c r="G785" s="7">
        <v>128682071.5382722</v>
      </c>
      <c r="H785" s="7"/>
      <c r="I785" s="7">
        <v>128682071.5382722</v>
      </c>
      <c r="J785" s="6">
        <v>5.2770519729546663</v>
      </c>
      <c r="K785" s="7">
        <v>10440.627514713189</v>
      </c>
      <c r="L785" s="7">
        <v>49490033</v>
      </c>
      <c r="M785" s="6">
        <v>54.714108699999997</v>
      </c>
      <c r="N785" s="6">
        <v>60.931060600000002</v>
      </c>
      <c r="O785" s="6">
        <v>65.624722599999998</v>
      </c>
      <c r="P785" s="6">
        <v>64.866386300000002</v>
      </c>
      <c r="Q785" s="6">
        <v>60.033903700000003</v>
      </c>
      <c r="R785" s="6">
        <v>68.738662699999992</v>
      </c>
      <c r="S785" s="5">
        <v>0</v>
      </c>
      <c r="T785" s="5">
        <v>0</v>
      </c>
      <c r="U785" s="5">
        <v>0</v>
      </c>
    </row>
    <row r="786" spans="1:21" x14ac:dyDescent="0.3">
      <c r="A786" s="2" t="s">
        <v>84</v>
      </c>
      <c r="B786" s="2">
        <v>2006</v>
      </c>
      <c r="C786" s="2" t="s">
        <v>85</v>
      </c>
      <c r="D786" s="8">
        <v>981.03672800000004</v>
      </c>
      <c r="E786" s="4">
        <f t="shared" si="12"/>
        <v>862526782.75489008</v>
      </c>
      <c r="F786" s="4">
        <v>0</v>
      </c>
      <c r="G786" s="4">
        <v>0</v>
      </c>
      <c r="H786" s="4"/>
      <c r="I786" s="4">
        <v>0</v>
      </c>
      <c r="J786" s="3">
        <v>5.6038064589588856</v>
      </c>
      <c r="K786" s="4">
        <v>11250.179555872021</v>
      </c>
      <c r="L786" s="4">
        <v>49998277</v>
      </c>
      <c r="M786" s="3">
        <v>57.154442199999998</v>
      </c>
      <c r="N786" s="3">
        <v>58.777777299999997</v>
      </c>
      <c r="O786" s="3">
        <v>65.735167099999998</v>
      </c>
      <c r="P786" s="3">
        <v>65.972664800000004</v>
      </c>
      <c r="Q786" s="3">
        <v>62.241919899999999</v>
      </c>
      <c r="R786" s="3">
        <v>69.320574899999997</v>
      </c>
      <c r="S786" s="2">
        <v>0</v>
      </c>
      <c r="T786" s="2">
        <v>0</v>
      </c>
      <c r="U786" s="2">
        <v>0</v>
      </c>
    </row>
    <row r="787" spans="1:21" x14ac:dyDescent="0.3">
      <c r="A787" s="5" t="s">
        <v>84</v>
      </c>
      <c r="B787" s="5">
        <v>2007</v>
      </c>
      <c r="C787" s="5" t="s">
        <v>85</v>
      </c>
      <c r="D787" s="9">
        <v>1144.4217739999999</v>
      </c>
      <c r="E787" s="7">
        <f t="shared" si="12"/>
        <v>1006174797.2017454</v>
      </c>
      <c r="F787" s="7">
        <v>7096555.0310482504</v>
      </c>
      <c r="G787" s="7">
        <v>714385.06938914</v>
      </c>
      <c r="H787" s="7"/>
      <c r="I787" s="7">
        <v>7810940.1004373906</v>
      </c>
      <c r="J787" s="6">
        <v>5.3604740539416156</v>
      </c>
      <c r="K787" s="7">
        <v>12046.60510725011</v>
      </c>
      <c r="L787" s="7">
        <v>50528584</v>
      </c>
      <c r="M787" s="6">
        <v>54.0919892</v>
      </c>
      <c r="N787" s="6">
        <v>57.799095599999987</v>
      </c>
      <c r="O787" s="6">
        <v>69.084417999999999</v>
      </c>
      <c r="P787" s="6">
        <v>64.941004100000001</v>
      </c>
      <c r="Q787" s="6">
        <v>59.696596300000003</v>
      </c>
      <c r="R787" s="6">
        <v>68.338989799999993</v>
      </c>
      <c r="S787" s="5">
        <v>0</v>
      </c>
      <c r="T787" s="5">
        <v>0</v>
      </c>
      <c r="U787" s="5">
        <v>0</v>
      </c>
    </row>
    <row r="788" spans="1:21" x14ac:dyDescent="0.3">
      <c r="A788" s="2" t="s">
        <v>84</v>
      </c>
      <c r="B788" s="2">
        <v>2008</v>
      </c>
      <c r="C788" s="2" t="s">
        <v>85</v>
      </c>
      <c r="D788" s="8">
        <v>1332.0506829999999</v>
      </c>
      <c r="E788" s="4">
        <f t="shared" si="12"/>
        <v>1171137998.4893327</v>
      </c>
      <c r="F788" s="4"/>
      <c r="G788" s="4">
        <v>0</v>
      </c>
      <c r="H788" s="4"/>
      <c r="I788" s="4">
        <v>0</v>
      </c>
      <c r="J788" s="3">
        <v>3.1910438863287989</v>
      </c>
      <c r="K788" s="4">
        <v>12525.26302998111</v>
      </c>
      <c r="L788" s="4">
        <v>51114599</v>
      </c>
      <c r="M788" s="3">
        <v>51.085475600000002</v>
      </c>
      <c r="N788" s="3">
        <v>57.273175700000003</v>
      </c>
      <c r="O788" s="3">
        <v>65.669886399999996</v>
      </c>
      <c r="P788" s="3">
        <v>65.045041799999993</v>
      </c>
      <c r="Q788" s="3">
        <v>58.2929946</v>
      </c>
      <c r="R788" s="3">
        <v>67.458929699999999</v>
      </c>
      <c r="S788" s="2">
        <v>0</v>
      </c>
      <c r="T788" s="2">
        <v>0</v>
      </c>
      <c r="U788" s="2">
        <v>0</v>
      </c>
    </row>
    <row r="789" spans="1:21" x14ac:dyDescent="0.3">
      <c r="A789" s="5" t="s">
        <v>84</v>
      </c>
      <c r="B789" s="5">
        <v>2009</v>
      </c>
      <c r="C789" s="5" t="s">
        <v>85</v>
      </c>
      <c r="D789" s="9">
        <v>1372.920228</v>
      </c>
      <c r="E789" s="7">
        <f t="shared" si="12"/>
        <v>1207070472.9374313</v>
      </c>
      <c r="F789" s="7">
        <v>2676.1651137979202</v>
      </c>
      <c r="G789" s="7">
        <v>1684698644.4057591</v>
      </c>
      <c r="H789" s="7"/>
      <c r="I789" s="7">
        <v>1684701320.570873</v>
      </c>
      <c r="J789" s="6">
        <v>-1.538089135255831</v>
      </c>
      <c r="K789" s="7">
        <v>12261.411591130331</v>
      </c>
      <c r="L789" s="7">
        <v>51728516</v>
      </c>
      <c r="M789" s="6">
        <v>49.993056099999997</v>
      </c>
      <c r="N789" s="6">
        <v>58.656481599999999</v>
      </c>
      <c r="O789" s="6">
        <v>64.811826400000001</v>
      </c>
      <c r="P789" s="6">
        <v>65.547520899999995</v>
      </c>
      <c r="Q789" s="6">
        <v>57.540935099999999</v>
      </c>
      <c r="R789" s="6">
        <v>67.807824299999993</v>
      </c>
      <c r="S789" s="5">
        <v>0</v>
      </c>
      <c r="T789" s="5">
        <v>0</v>
      </c>
      <c r="U789" s="5">
        <v>0</v>
      </c>
    </row>
    <row r="790" spans="1:21" x14ac:dyDescent="0.3">
      <c r="A790" s="2" t="s">
        <v>84</v>
      </c>
      <c r="B790" s="2">
        <v>2010</v>
      </c>
      <c r="C790" s="2" t="s">
        <v>85</v>
      </c>
      <c r="D790" s="8">
        <v>1343.1952269999999</v>
      </c>
      <c r="E790" s="4">
        <f t="shared" si="12"/>
        <v>1180936273.5255659</v>
      </c>
      <c r="F790" s="4"/>
      <c r="G790" s="4">
        <v>537821302.26510262</v>
      </c>
      <c r="H790" s="4"/>
      <c r="I790" s="4">
        <v>537821302.26510262</v>
      </c>
      <c r="J790" s="3">
        <v>3.0397328812795621</v>
      </c>
      <c r="K790" s="4">
        <v>12637.29122260176</v>
      </c>
      <c r="L790" s="4">
        <v>52344051</v>
      </c>
      <c r="M790" s="3">
        <v>49.743423399999998</v>
      </c>
      <c r="N790" s="3">
        <v>56.628835899999999</v>
      </c>
      <c r="O790" s="3">
        <v>65.002169999999992</v>
      </c>
      <c r="P790" s="3">
        <v>65.9566631</v>
      </c>
      <c r="Q790" s="3">
        <v>58.083612600000002</v>
      </c>
      <c r="R790" s="3">
        <v>67.786298000000002</v>
      </c>
      <c r="S790" s="2">
        <v>0</v>
      </c>
      <c r="T790" s="2">
        <v>0</v>
      </c>
      <c r="U790" s="2">
        <v>0</v>
      </c>
    </row>
    <row r="791" spans="1:21" x14ac:dyDescent="0.3">
      <c r="A791" s="5" t="s">
        <v>84</v>
      </c>
      <c r="B791" s="5">
        <v>2011</v>
      </c>
      <c r="C791" s="5" t="s">
        <v>85</v>
      </c>
      <c r="D791" s="9">
        <v>1684.8121530000001</v>
      </c>
      <c r="E791" s="7">
        <f t="shared" si="12"/>
        <v>1481285628.1497238</v>
      </c>
      <c r="F791" s="7"/>
      <c r="G791" s="7">
        <v>612019125.23995137</v>
      </c>
      <c r="H791" s="7"/>
      <c r="I791" s="7">
        <v>612019125.23995137</v>
      </c>
      <c r="J791" s="6">
        <v>3.1685562785881838</v>
      </c>
      <c r="K791" s="7">
        <v>13143.1933361097</v>
      </c>
      <c r="L791" s="7">
        <v>52995205</v>
      </c>
      <c r="M791" s="6">
        <v>50.056225900000001</v>
      </c>
      <c r="N791" s="6">
        <v>57.274740899999998</v>
      </c>
      <c r="O791" s="6">
        <v>65.166150000000002</v>
      </c>
      <c r="P791" s="6">
        <v>65.191272900000001</v>
      </c>
      <c r="Q791" s="6">
        <v>57.149861399999999</v>
      </c>
      <c r="R791" s="6">
        <v>66.599849699999993</v>
      </c>
      <c r="S791" s="5">
        <v>0</v>
      </c>
      <c r="T791" s="5">
        <v>0</v>
      </c>
      <c r="U791" s="5">
        <v>0</v>
      </c>
    </row>
    <row r="792" spans="1:21" x14ac:dyDescent="0.3">
      <c r="A792" s="2" t="s">
        <v>84</v>
      </c>
      <c r="B792" s="2">
        <v>2012</v>
      </c>
      <c r="C792" s="2" t="s">
        <v>85</v>
      </c>
      <c r="D792" s="8">
        <v>1487.519321</v>
      </c>
      <c r="E792" s="4">
        <f t="shared" si="12"/>
        <v>1307825912.7398016</v>
      </c>
      <c r="F792" s="4"/>
      <c r="G792" s="4">
        <v>745950049.43923545</v>
      </c>
      <c r="H792" s="4"/>
      <c r="I792" s="4">
        <v>745950049.43923545</v>
      </c>
      <c r="J792" s="3">
        <v>2.396232384657452</v>
      </c>
      <c r="K792" s="4">
        <v>12986.79766753072</v>
      </c>
      <c r="L792" s="4">
        <v>53782567</v>
      </c>
      <c r="M792" s="3">
        <v>47.264357599999997</v>
      </c>
      <c r="N792" s="3">
        <v>57.490522899999988</v>
      </c>
      <c r="O792" s="3">
        <v>63.809199599999999</v>
      </c>
      <c r="P792" s="3">
        <v>64.9902582</v>
      </c>
      <c r="Q792" s="3">
        <v>57.142529600000003</v>
      </c>
      <c r="R792" s="3">
        <v>66.267837999999998</v>
      </c>
      <c r="S792" s="2">
        <v>0</v>
      </c>
      <c r="T792" s="2">
        <v>0</v>
      </c>
      <c r="U792" s="2">
        <v>0</v>
      </c>
    </row>
    <row r="793" spans="1:21" x14ac:dyDescent="0.3">
      <c r="A793" s="5" t="s">
        <v>84</v>
      </c>
      <c r="B793" s="5">
        <v>2013</v>
      </c>
      <c r="C793" s="5" t="s">
        <v>85</v>
      </c>
      <c r="D793" s="9">
        <v>1632.608655</v>
      </c>
      <c r="E793" s="7">
        <f t="shared" si="12"/>
        <v>1435388350.4093826</v>
      </c>
      <c r="F793" s="7">
        <v>4219574.39770969</v>
      </c>
      <c r="G793" s="7">
        <v>592219189.89966261</v>
      </c>
      <c r="H793" s="7">
        <v>59898740.921280198</v>
      </c>
      <c r="I793" s="7">
        <v>656337505.21865249</v>
      </c>
      <c r="J793" s="6">
        <v>2.4854680082658831</v>
      </c>
      <c r="K793" s="7">
        <v>13369.43820396055</v>
      </c>
      <c r="L793" s="7">
        <v>54678791</v>
      </c>
      <c r="M793" s="6">
        <v>47.175531700000001</v>
      </c>
      <c r="N793" s="6">
        <v>57.824839500000003</v>
      </c>
      <c r="O793" s="6">
        <v>61.482673699999999</v>
      </c>
      <c r="P793" s="6">
        <v>64.715267699999998</v>
      </c>
      <c r="Q793" s="6">
        <v>57.389623699999987</v>
      </c>
      <c r="R793" s="6">
        <v>66.134661600000001</v>
      </c>
      <c r="S793" s="5">
        <v>0</v>
      </c>
      <c r="T793" s="5">
        <v>0</v>
      </c>
      <c r="U793" s="5">
        <v>0</v>
      </c>
    </row>
    <row r="794" spans="1:21" x14ac:dyDescent="0.3">
      <c r="A794" s="2" t="s">
        <v>84</v>
      </c>
      <c r="B794" s="2">
        <v>2014</v>
      </c>
      <c r="C794" s="2" t="s">
        <v>85</v>
      </c>
      <c r="D794" s="8">
        <v>1503.119314</v>
      </c>
      <c r="E794" s="4">
        <f t="shared" si="12"/>
        <v>1321541415.319119</v>
      </c>
      <c r="F794" s="4"/>
      <c r="G794" s="4">
        <v>218097760.58747199</v>
      </c>
      <c r="H794" s="4"/>
      <c r="I794" s="4">
        <v>218097760.58747199</v>
      </c>
      <c r="J794" s="3">
        <v>1.4138264522379269</v>
      </c>
      <c r="K794" s="4">
        <v>13358.94171866085</v>
      </c>
      <c r="L794" s="4">
        <v>55594838</v>
      </c>
      <c r="M794" s="3">
        <v>47.563697500000004</v>
      </c>
      <c r="N794" s="3">
        <v>57.784498999999997</v>
      </c>
      <c r="O794" s="3">
        <v>61.9534819</v>
      </c>
      <c r="P794" s="3">
        <v>61.197603800000003</v>
      </c>
      <c r="Q794" s="3">
        <v>58.177381699999998</v>
      </c>
      <c r="R794" s="3">
        <v>66.599140899999995</v>
      </c>
      <c r="S794" s="2">
        <v>0</v>
      </c>
      <c r="T794" s="2">
        <v>0</v>
      </c>
      <c r="U794" s="2">
        <v>0</v>
      </c>
    </row>
    <row r="795" spans="1:21" x14ac:dyDescent="0.3">
      <c r="A795" s="5" t="s">
        <v>84</v>
      </c>
      <c r="B795" s="5">
        <v>2015</v>
      </c>
      <c r="C795" s="5" t="s">
        <v>85</v>
      </c>
      <c r="D795" s="9">
        <v>1904.1146450000001</v>
      </c>
      <c r="E795" s="7">
        <f t="shared" si="12"/>
        <v>1674096220.7363145</v>
      </c>
      <c r="F795" s="7">
        <v>26370.280759044501</v>
      </c>
      <c r="G795" s="7">
        <v>2477751614.8951802</v>
      </c>
      <c r="H795" s="7"/>
      <c r="I795" s="7">
        <v>2477777985.1759391</v>
      </c>
      <c r="J795" s="6">
        <v>1.321862236782295</v>
      </c>
      <c r="K795" s="7">
        <v>13397.523481334631</v>
      </c>
      <c r="L795" s="7">
        <v>56723537</v>
      </c>
      <c r="M795" s="6">
        <v>48.086095099999987</v>
      </c>
      <c r="N795" s="6">
        <v>56.094245899999997</v>
      </c>
      <c r="O795" s="6">
        <v>60.5909646</v>
      </c>
      <c r="P795" s="6">
        <v>59.510034999999988</v>
      </c>
      <c r="Q795" s="6">
        <v>57.7229004</v>
      </c>
      <c r="R795" s="6">
        <v>67.187630599999991</v>
      </c>
      <c r="S795" s="5">
        <v>0</v>
      </c>
      <c r="T795" s="5">
        <v>0</v>
      </c>
      <c r="U795" s="5">
        <v>0</v>
      </c>
    </row>
    <row r="796" spans="1:21" x14ac:dyDescent="0.3">
      <c r="A796" s="2" t="s">
        <v>84</v>
      </c>
      <c r="B796" s="2">
        <v>2016</v>
      </c>
      <c r="C796" s="2" t="s">
        <v>85</v>
      </c>
      <c r="D796" s="8">
        <v>1632.498225</v>
      </c>
      <c r="E796" s="4">
        <f t="shared" si="12"/>
        <v>1435291260.433135</v>
      </c>
      <c r="F796" s="4">
        <v>0</v>
      </c>
      <c r="G796" s="4">
        <v>1359113486.7200091</v>
      </c>
      <c r="H796" s="4">
        <v>590402254.17923295</v>
      </c>
      <c r="I796" s="4">
        <v>1949515740.8992419</v>
      </c>
      <c r="J796" s="3">
        <v>0.66455230785811636</v>
      </c>
      <c r="K796" s="4">
        <v>13519.323510237629</v>
      </c>
      <c r="L796" s="4">
        <v>57259551</v>
      </c>
      <c r="M796" s="3">
        <v>48.474993699999999</v>
      </c>
      <c r="N796" s="3">
        <v>55.254876699999997</v>
      </c>
      <c r="O796" s="3">
        <v>60.122322399999987</v>
      </c>
      <c r="P796" s="3">
        <v>58.981189299999997</v>
      </c>
      <c r="Q796" s="3">
        <v>58.171409599999997</v>
      </c>
      <c r="R796" s="3">
        <v>66.849547299999998</v>
      </c>
      <c r="S796" s="2">
        <v>0</v>
      </c>
      <c r="T796" s="2">
        <v>0</v>
      </c>
      <c r="U796" s="2">
        <v>0</v>
      </c>
    </row>
    <row r="797" spans="1:21" x14ac:dyDescent="0.3">
      <c r="A797" s="5" t="s">
        <v>84</v>
      </c>
      <c r="B797" s="5">
        <v>2017</v>
      </c>
      <c r="C797" s="5" t="s">
        <v>85</v>
      </c>
      <c r="D797" s="9">
        <v>1386.0948880000001</v>
      </c>
      <c r="E797" s="7">
        <f t="shared" si="12"/>
        <v>1218653624.494719</v>
      </c>
      <c r="F797" s="7">
        <v>1728593784.4286101</v>
      </c>
      <c r="G797" s="7">
        <v>2604950644.1075792</v>
      </c>
      <c r="H797" s="7">
        <v>115233815.702097</v>
      </c>
      <c r="I797" s="7">
        <v>4448778244.238286</v>
      </c>
      <c r="J797" s="6">
        <v>1.1579469518173511</v>
      </c>
      <c r="K797" s="7">
        <v>13738.43858545956</v>
      </c>
      <c r="L797" s="7">
        <v>57635162</v>
      </c>
      <c r="M797" s="6">
        <v>46.238208999999998</v>
      </c>
      <c r="N797" s="6">
        <v>55.672055899999997</v>
      </c>
      <c r="O797" s="6">
        <v>59.355008299999987</v>
      </c>
      <c r="P797" s="6">
        <v>58.485151299999998</v>
      </c>
      <c r="Q797" s="6">
        <v>57.211482599999997</v>
      </c>
      <c r="R797" s="6">
        <v>66.28582879999999</v>
      </c>
      <c r="S797" s="5">
        <v>0</v>
      </c>
      <c r="T797" s="5">
        <v>0</v>
      </c>
      <c r="U797" s="5">
        <v>0</v>
      </c>
    </row>
    <row r="798" spans="1:21" x14ac:dyDescent="0.3">
      <c r="A798" s="2" t="s">
        <v>84</v>
      </c>
      <c r="B798" s="2">
        <v>2018</v>
      </c>
      <c r="C798" s="2" t="s">
        <v>85</v>
      </c>
      <c r="D798" s="8">
        <v>1359.0100620000001</v>
      </c>
      <c r="E798" s="4">
        <f t="shared" si="12"/>
        <v>1194840665.0361247</v>
      </c>
      <c r="F798" s="4">
        <v>2752293834.578351</v>
      </c>
      <c r="G798" s="4">
        <v>1956904098.7867241</v>
      </c>
      <c r="H798" s="4">
        <v>544924873.93933797</v>
      </c>
      <c r="I798" s="4">
        <v>5254122807.3044128</v>
      </c>
      <c r="J798" s="3">
        <v>1.5567838472167641</v>
      </c>
      <c r="K798" s="4">
        <v>13347.363482603771</v>
      </c>
      <c r="L798" s="4">
        <v>58613001</v>
      </c>
      <c r="M798" s="3">
        <v>46.896556799999999</v>
      </c>
      <c r="N798" s="3">
        <v>54.220235099999996</v>
      </c>
      <c r="O798" s="3">
        <v>60.780449099999998</v>
      </c>
      <c r="P798" s="3">
        <v>55.943772899999999</v>
      </c>
      <c r="Q798" s="3">
        <v>55.788682399999999</v>
      </c>
      <c r="R798" s="3">
        <v>66.136242100000004</v>
      </c>
      <c r="S798" s="2">
        <v>0</v>
      </c>
      <c r="T798" s="2">
        <v>0</v>
      </c>
      <c r="U798" s="2">
        <v>0</v>
      </c>
    </row>
    <row r="799" spans="1:21" x14ac:dyDescent="0.3">
      <c r="A799" s="5" t="s">
        <v>84</v>
      </c>
      <c r="B799" s="5">
        <v>2019</v>
      </c>
      <c r="C799" s="5" t="s">
        <v>85</v>
      </c>
      <c r="D799" s="9">
        <v>1272.3756920000001</v>
      </c>
      <c r="E799" s="7">
        <f t="shared" si="12"/>
        <v>1118671789.4992888</v>
      </c>
      <c r="F799" s="7">
        <v>174692.15129155171</v>
      </c>
      <c r="G799" s="7">
        <v>1115459653.7810969</v>
      </c>
      <c r="H799" s="7">
        <v>0</v>
      </c>
      <c r="I799" s="7">
        <v>1115634345.932389</v>
      </c>
      <c r="J799" s="6">
        <v>0.25993557687633029</v>
      </c>
      <c r="K799" s="7">
        <v>13361.485128911239</v>
      </c>
      <c r="L799" s="7">
        <v>59587885</v>
      </c>
      <c r="M799" s="6">
        <v>48.562882399999999</v>
      </c>
      <c r="N799" s="6">
        <v>55.022816199999987</v>
      </c>
      <c r="O799" s="6">
        <v>60.116430899999997</v>
      </c>
      <c r="P799" s="6">
        <v>56.736436599999998</v>
      </c>
      <c r="Q799" s="6">
        <v>55.675349900000001</v>
      </c>
      <c r="R799" s="6">
        <v>65.446012199999998</v>
      </c>
      <c r="S799" s="5">
        <v>0</v>
      </c>
      <c r="T799" s="5">
        <v>0</v>
      </c>
      <c r="U799" s="5">
        <v>0</v>
      </c>
    </row>
    <row r="800" spans="1:21" x14ac:dyDescent="0.3">
      <c r="A800" s="2" t="s">
        <v>84</v>
      </c>
      <c r="B800" s="2">
        <v>2020</v>
      </c>
      <c r="C800" s="2" t="s">
        <v>85</v>
      </c>
      <c r="D800" s="8">
        <v>1623.5510220000001</v>
      </c>
      <c r="E800" s="4">
        <f t="shared" si="12"/>
        <v>1427424886.0171866</v>
      </c>
      <c r="F800" s="4">
        <v>2363445.5742241698</v>
      </c>
      <c r="G800" s="4">
        <v>763507454.52700841</v>
      </c>
      <c r="H800" s="4"/>
      <c r="I800" s="4">
        <v>765870900.10123253</v>
      </c>
      <c r="J800" s="3">
        <v>-6.1689177146757004</v>
      </c>
      <c r="K800" s="4">
        <v>12671.0862436851</v>
      </c>
      <c r="L800" s="4">
        <v>60562381</v>
      </c>
      <c r="M800" s="3">
        <v>48.374381100000001</v>
      </c>
      <c r="N800" s="3">
        <v>53.193981699999988</v>
      </c>
      <c r="O800" s="3">
        <v>61.6419067</v>
      </c>
      <c r="P800" s="3">
        <v>56.280748299999999</v>
      </c>
      <c r="Q800" s="3">
        <v>55.908327700000001</v>
      </c>
      <c r="R800" s="3">
        <v>65.736523699999992</v>
      </c>
      <c r="S800" s="2">
        <v>0</v>
      </c>
      <c r="T800" s="2">
        <v>0</v>
      </c>
      <c r="U800" s="2">
        <v>0</v>
      </c>
    </row>
    <row r="801" spans="1:21" x14ac:dyDescent="0.3">
      <c r="A801" s="5" t="s">
        <v>84</v>
      </c>
      <c r="B801" s="5">
        <v>2021</v>
      </c>
      <c r="C801" s="5" t="s">
        <v>85</v>
      </c>
      <c r="D801" s="9">
        <v>1753.47525</v>
      </c>
      <c r="E801" s="7">
        <f t="shared" si="12"/>
        <v>1541654173.4437761</v>
      </c>
      <c r="F801" s="7">
        <v>5537150.4251691476</v>
      </c>
      <c r="G801" s="7">
        <v>171159873</v>
      </c>
      <c r="H801" s="7"/>
      <c r="I801" s="7">
        <v>176697023.42516911</v>
      </c>
      <c r="J801" s="6">
        <v>4.8586486506014808</v>
      </c>
      <c r="K801" s="7">
        <v>13681.954814481311</v>
      </c>
      <c r="L801" s="7">
        <v>61502603</v>
      </c>
      <c r="M801" s="6">
        <v>49.161647299999998</v>
      </c>
      <c r="N801" s="6">
        <v>52.1589454</v>
      </c>
      <c r="O801" s="6">
        <v>52.676512499999987</v>
      </c>
      <c r="P801" s="6">
        <v>55.142562699999999</v>
      </c>
      <c r="Q801" s="6">
        <v>59.048487700000003</v>
      </c>
      <c r="R801" s="6">
        <v>68.059805900000001</v>
      </c>
      <c r="S801" s="5">
        <v>0</v>
      </c>
      <c r="T801" s="5">
        <v>0</v>
      </c>
      <c r="U801" s="5">
        <v>0</v>
      </c>
    </row>
    <row r="802" spans="1:21" x14ac:dyDescent="0.3">
      <c r="A802" s="2" t="s">
        <v>88</v>
      </c>
      <c r="B802" s="2">
        <v>2002</v>
      </c>
      <c r="C802" s="2" t="s">
        <v>89</v>
      </c>
      <c r="D802" s="8">
        <v>378.65571</v>
      </c>
      <c r="E802" s="4">
        <f t="shared" ref="E802:E858" si="13">(D802*0.879199277802054)*1000000</f>
        <v>332913826.76762402</v>
      </c>
      <c r="F802" s="4">
        <v>45551299.15459419</v>
      </c>
      <c r="G802" s="4">
        <v>104627182.1978728</v>
      </c>
      <c r="H802" s="4"/>
      <c r="I802" s="4">
        <v>150178481.352467</v>
      </c>
      <c r="J802" s="3">
        <v>6.0064715363132004</v>
      </c>
      <c r="K802" s="4">
        <v>2898.138671875</v>
      </c>
      <c r="L802" s="4">
        <v>29228727</v>
      </c>
      <c r="M802" s="3">
        <v>23.901873999999999</v>
      </c>
      <c r="N802" s="3">
        <v>25.2511866</v>
      </c>
      <c r="O802" s="3">
        <v>27.9708063</v>
      </c>
      <c r="P802" s="3">
        <v>33.187333600000002</v>
      </c>
      <c r="Q802" s="3">
        <v>34.555522699999997</v>
      </c>
      <c r="R802" s="3">
        <v>26.804794099999999</v>
      </c>
      <c r="S802" s="2">
        <v>1</v>
      </c>
      <c r="T802" s="2">
        <v>2</v>
      </c>
      <c r="U802" s="2">
        <v>1</v>
      </c>
    </row>
    <row r="803" spans="1:21" x14ac:dyDescent="0.3">
      <c r="A803" s="5" t="s">
        <v>88</v>
      </c>
      <c r="B803" s="5">
        <v>2003</v>
      </c>
      <c r="C803" s="5" t="s">
        <v>89</v>
      </c>
      <c r="D803" s="9">
        <v>576.89650800000004</v>
      </c>
      <c r="E803" s="7">
        <f t="shared" si="13"/>
        <v>507206993.20012689</v>
      </c>
      <c r="F803" s="7">
        <v>1482344786.020339</v>
      </c>
      <c r="G803" s="7">
        <v>1150350711.2903299</v>
      </c>
      <c r="H803" s="7">
        <v>264641440.99975619</v>
      </c>
      <c r="I803" s="7">
        <v>2897336938.3104262</v>
      </c>
      <c r="J803" s="6">
        <v>6.2888081614651554</v>
      </c>
      <c r="K803" s="7">
        <v>3058.10375976563</v>
      </c>
      <c r="L803" s="7">
        <v>29896035</v>
      </c>
      <c r="M803" s="6">
        <v>21.199705999999999</v>
      </c>
      <c r="N803" s="6">
        <v>21.235802</v>
      </c>
      <c r="O803" s="6">
        <v>28.1709839</v>
      </c>
      <c r="P803" s="6">
        <v>31.671873600000001</v>
      </c>
      <c r="Q803" s="6">
        <v>29.971880500000001</v>
      </c>
      <c r="R803" s="6">
        <v>26.804710100000001</v>
      </c>
      <c r="S803" s="5">
        <v>1</v>
      </c>
      <c r="T803" s="5">
        <v>2</v>
      </c>
      <c r="U803" s="5">
        <v>1</v>
      </c>
    </row>
    <row r="804" spans="1:21" x14ac:dyDescent="0.3">
      <c r="A804" s="2" t="s">
        <v>88</v>
      </c>
      <c r="B804" s="2">
        <v>2004</v>
      </c>
      <c r="C804" s="2" t="s">
        <v>89</v>
      </c>
      <c r="D804" s="8">
        <v>1201.0117760000001</v>
      </c>
      <c r="E804" s="4">
        <f t="shared" si="13"/>
        <v>1055928686.0909622</v>
      </c>
      <c r="F804" s="4">
        <v>60969611.847594693</v>
      </c>
      <c r="G804" s="4">
        <v>508823152.84619862</v>
      </c>
      <c r="H804" s="4">
        <v>324793192.58103269</v>
      </c>
      <c r="I804" s="4">
        <v>894585957.27482605</v>
      </c>
      <c r="J804" s="3">
        <v>5.1408885176267489</v>
      </c>
      <c r="K804" s="4">
        <v>3215.236328125</v>
      </c>
      <c r="L804" s="4">
        <v>30556637</v>
      </c>
      <c r="M804" s="3">
        <v>21.418990699999998</v>
      </c>
      <c r="N804" s="3">
        <v>26.306771300000001</v>
      </c>
      <c r="O804" s="3">
        <v>37.162777599999998</v>
      </c>
      <c r="P804" s="3">
        <v>36.236234699999997</v>
      </c>
      <c r="Q804" s="3">
        <v>30.529564000000001</v>
      </c>
      <c r="R804" s="3">
        <v>25.109875800000001</v>
      </c>
      <c r="S804" s="2">
        <v>1</v>
      </c>
      <c r="T804" s="2">
        <v>2</v>
      </c>
      <c r="U804" s="2">
        <v>1</v>
      </c>
    </row>
    <row r="805" spans="1:21" x14ac:dyDescent="0.3">
      <c r="A805" s="5" t="s">
        <v>88</v>
      </c>
      <c r="B805" s="5">
        <v>2005</v>
      </c>
      <c r="C805" s="5" t="s">
        <v>89</v>
      </c>
      <c r="D805" s="9">
        <v>2330.2914599999999</v>
      </c>
      <c r="E805" s="7">
        <f t="shared" si="13"/>
        <v>2048790568.700294</v>
      </c>
      <c r="F805" s="7">
        <v>382439508.04983407</v>
      </c>
      <c r="G805" s="7">
        <v>1378684140.0093789</v>
      </c>
      <c r="H805" s="7"/>
      <c r="I805" s="7">
        <v>1761123648.0592129</v>
      </c>
      <c r="J805" s="6">
        <v>5.6435155134363129</v>
      </c>
      <c r="K805" s="7">
        <v>3407.35180664063</v>
      </c>
      <c r="L805" s="7">
        <v>31262444</v>
      </c>
      <c r="M805" s="6">
        <v>19.212869900000001</v>
      </c>
      <c r="N805" s="6">
        <v>23.190287699999999</v>
      </c>
      <c r="O805" s="6">
        <v>29.852040500000001</v>
      </c>
      <c r="P805" s="6">
        <v>36.476666799999997</v>
      </c>
      <c r="Q805" s="6">
        <v>28.774039599999998</v>
      </c>
      <c r="R805" s="6">
        <v>25.292391800000001</v>
      </c>
      <c r="S805" s="5">
        <v>1</v>
      </c>
      <c r="T805" s="5">
        <v>1</v>
      </c>
      <c r="U805" s="5">
        <v>0</v>
      </c>
    </row>
    <row r="806" spans="1:21" x14ac:dyDescent="0.3">
      <c r="A806" s="2" t="s">
        <v>88</v>
      </c>
      <c r="B806" s="2">
        <v>2006</v>
      </c>
      <c r="C806" s="2" t="s">
        <v>89</v>
      </c>
      <c r="D806" s="8">
        <v>2418.9913240000001</v>
      </c>
      <c r="E806" s="4">
        <f t="shared" si="13"/>
        <v>2126775425.0702345</v>
      </c>
      <c r="F806" s="4">
        <v>288667488.00781327</v>
      </c>
      <c r="G806" s="4">
        <v>398871605.43589008</v>
      </c>
      <c r="H806" s="4">
        <v>226353922.24704081</v>
      </c>
      <c r="I806" s="4">
        <v>913893015.69074416</v>
      </c>
      <c r="J806" s="3">
        <v>6.5314117467791988</v>
      </c>
      <c r="K806" s="4">
        <v>3637.32666015625</v>
      </c>
      <c r="L806" s="4">
        <v>31992435</v>
      </c>
      <c r="M806" s="3">
        <v>23.519351499999999</v>
      </c>
      <c r="N806" s="3">
        <v>28.597959400000001</v>
      </c>
      <c r="O806" s="3">
        <v>27.293648999999998</v>
      </c>
      <c r="P806" s="3">
        <v>36.714942999999998</v>
      </c>
      <c r="Q806" s="3">
        <v>33.3335249</v>
      </c>
      <c r="R806" s="3">
        <v>28.407616000000001</v>
      </c>
      <c r="S806" s="2">
        <v>1</v>
      </c>
      <c r="T806" s="2">
        <v>2</v>
      </c>
      <c r="U806" s="2">
        <v>1</v>
      </c>
    </row>
    <row r="807" spans="1:21" x14ac:dyDescent="0.3">
      <c r="A807" s="5" t="s">
        <v>88</v>
      </c>
      <c r="B807" s="5">
        <v>2007</v>
      </c>
      <c r="C807" s="5" t="s">
        <v>89</v>
      </c>
      <c r="D807" s="9">
        <v>2371.00738</v>
      </c>
      <c r="E807" s="7">
        <f t="shared" si="13"/>
        <v>2084587976.1593401</v>
      </c>
      <c r="F807" s="7">
        <v>214104733.086835</v>
      </c>
      <c r="G807" s="7">
        <v>1975831018.8050599</v>
      </c>
      <c r="H807" s="7">
        <v>49362084.244556896</v>
      </c>
      <c r="I807" s="7">
        <v>2239297836.1364522</v>
      </c>
      <c r="J807" s="6">
        <v>5.735274236644841</v>
      </c>
      <c r="K807" s="7">
        <v>3836.48901367188</v>
      </c>
      <c r="L807" s="7">
        <v>32764135</v>
      </c>
      <c r="M807" s="6">
        <v>21.2756179</v>
      </c>
      <c r="N807" s="6">
        <v>28.470667200000001</v>
      </c>
      <c r="O807" s="6">
        <v>25.5432837</v>
      </c>
      <c r="P807" s="6">
        <v>35.765779500000001</v>
      </c>
      <c r="Q807" s="6">
        <v>32.8033286</v>
      </c>
      <c r="R807" s="6">
        <v>28.5090079</v>
      </c>
      <c r="S807" s="5">
        <v>1</v>
      </c>
      <c r="T807" s="5">
        <v>1</v>
      </c>
      <c r="U807" s="5">
        <v>0</v>
      </c>
    </row>
    <row r="808" spans="1:21" x14ac:dyDescent="0.3">
      <c r="A808" s="2" t="s">
        <v>88</v>
      </c>
      <c r="B808" s="2">
        <v>2008</v>
      </c>
      <c r="C808" s="2" t="s">
        <v>89</v>
      </c>
      <c r="D808" s="8">
        <v>2753.714551</v>
      </c>
      <c r="E808" s="4">
        <f t="shared" si="13"/>
        <v>2421063844.512207</v>
      </c>
      <c r="F808" s="4">
        <v>79363551.10447289</v>
      </c>
      <c r="G808" s="4"/>
      <c r="H808" s="4">
        <v>205209265.09434211</v>
      </c>
      <c r="I808" s="4">
        <v>284572816.19881499</v>
      </c>
      <c r="J808" s="3">
        <v>3.846744731210578</v>
      </c>
      <c r="K808" s="4">
        <v>3937.52685546875</v>
      </c>
      <c r="L808" s="4">
        <v>33623980</v>
      </c>
      <c r="M808" s="3">
        <v>18.973608899999999</v>
      </c>
      <c r="N808" s="3">
        <v>25.866856200000001</v>
      </c>
      <c r="O808" s="3">
        <v>24.729499199999999</v>
      </c>
      <c r="P808" s="3">
        <v>34.4802605</v>
      </c>
      <c r="Q808" s="3">
        <v>32.416493899999999</v>
      </c>
      <c r="R808" s="3">
        <v>29.505876199999999</v>
      </c>
      <c r="S808" s="2">
        <v>1</v>
      </c>
      <c r="T808" s="2">
        <v>1</v>
      </c>
      <c r="U808" s="2">
        <v>0</v>
      </c>
    </row>
    <row r="809" spans="1:21" x14ac:dyDescent="0.3">
      <c r="A809" s="5" t="s">
        <v>88</v>
      </c>
      <c r="B809" s="5">
        <v>2009</v>
      </c>
      <c r="C809" s="5" t="s">
        <v>89</v>
      </c>
      <c r="D809" s="9">
        <v>2833.2356890000001</v>
      </c>
      <c r="E809" s="7">
        <f t="shared" si="13"/>
        <v>2490978771.611805</v>
      </c>
      <c r="F809" s="7">
        <v>13688527.075907471</v>
      </c>
      <c r="G809" s="7">
        <v>2612211401.376574</v>
      </c>
      <c r="H809" s="7"/>
      <c r="I809" s="7">
        <v>2625899928.4524808</v>
      </c>
      <c r="J809" s="6">
        <v>-2.7677043659913778</v>
      </c>
      <c r="K809" s="7">
        <v>3731.61474609375</v>
      </c>
      <c r="L809" s="7">
        <v>34569113</v>
      </c>
      <c r="M809" s="6">
        <v>18.927063499999999</v>
      </c>
      <c r="N809" s="6">
        <v>27.499605599999999</v>
      </c>
      <c r="O809" s="6">
        <v>24.226610000000001</v>
      </c>
      <c r="P809" s="6">
        <v>35.4317834</v>
      </c>
      <c r="Q809" s="6">
        <v>32.9834782</v>
      </c>
      <c r="R809" s="6">
        <v>29.430809799999999</v>
      </c>
      <c r="S809" s="5">
        <v>1</v>
      </c>
      <c r="T809" s="5">
        <v>1</v>
      </c>
      <c r="U809" s="5">
        <v>0</v>
      </c>
    </row>
    <row r="810" spans="1:21" x14ac:dyDescent="0.3">
      <c r="A810" s="2" t="s">
        <v>88</v>
      </c>
      <c r="B810" s="2">
        <v>2010</v>
      </c>
      <c r="C810" s="2" t="s">
        <v>89</v>
      </c>
      <c r="D810" s="8">
        <v>2397.9069570000001</v>
      </c>
      <c r="E810" s="4">
        <f t="shared" si="13"/>
        <v>2108238064.8309209</v>
      </c>
      <c r="F810" s="4">
        <v>28150894.429007441</v>
      </c>
      <c r="G810" s="4">
        <v>699566739.85045087</v>
      </c>
      <c r="H810" s="4"/>
      <c r="I810" s="4">
        <v>727717634.27945828</v>
      </c>
      <c r="J810" s="3">
        <v>3.8582419523010709</v>
      </c>
      <c r="K810" s="4">
        <v>3805.62744140625</v>
      </c>
      <c r="L810" s="4">
        <v>35414399</v>
      </c>
      <c r="M810" s="3">
        <v>17.943090099999999</v>
      </c>
      <c r="N810" s="3">
        <v>25.705764500000001</v>
      </c>
      <c r="O810" s="3">
        <v>24.376873499999999</v>
      </c>
      <c r="P810" s="3">
        <v>33.919136999999999</v>
      </c>
      <c r="Q810" s="3">
        <v>33.159433499999999</v>
      </c>
      <c r="R810" s="3">
        <v>28.224034199999998</v>
      </c>
      <c r="S810" s="2">
        <v>1</v>
      </c>
      <c r="T810" s="2">
        <v>2</v>
      </c>
      <c r="U810" s="2">
        <v>1</v>
      </c>
    </row>
    <row r="811" spans="1:21" x14ac:dyDescent="0.3">
      <c r="A811" s="5" t="s">
        <v>88</v>
      </c>
      <c r="B811" s="5">
        <v>2011</v>
      </c>
      <c r="C811" s="5" t="s">
        <v>89</v>
      </c>
      <c r="D811" s="9">
        <v>1991.76412</v>
      </c>
      <c r="E811" s="7">
        <f t="shared" si="13"/>
        <v>1751157575.8560436</v>
      </c>
      <c r="F811" s="7">
        <v>16603382.448107241</v>
      </c>
      <c r="G811" s="7">
        <v>114891740.776297</v>
      </c>
      <c r="H811" s="7">
        <v>127907538.859492</v>
      </c>
      <c r="I811" s="7">
        <v>259402662.08389619</v>
      </c>
      <c r="J811" s="6">
        <v>-3.2135320925337112</v>
      </c>
      <c r="K811" s="7">
        <v>4112.21875</v>
      </c>
      <c r="L811" s="7">
        <v>36140806</v>
      </c>
      <c r="M811" s="6">
        <v>18.180456499999998</v>
      </c>
      <c r="N811" s="6">
        <v>25.649129899999998</v>
      </c>
      <c r="O811" s="6">
        <v>25.857369899999998</v>
      </c>
      <c r="P811" s="6">
        <v>34.151987800000001</v>
      </c>
      <c r="Q811" s="6">
        <v>32.333455700000002</v>
      </c>
      <c r="R811" s="6">
        <v>26.458421600000001</v>
      </c>
      <c r="S811" s="5">
        <v>1</v>
      </c>
      <c r="T811" s="5">
        <v>2</v>
      </c>
      <c r="U811" s="5">
        <v>1</v>
      </c>
    </row>
    <row r="812" spans="1:21" x14ac:dyDescent="0.3">
      <c r="A812" s="2" t="s">
        <v>88</v>
      </c>
      <c r="B812" s="2">
        <v>2012</v>
      </c>
      <c r="C812" s="2" t="s">
        <v>89</v>
      </c>
      <c r="D812" s="8">
        <v>1551.04636</v>
      </c>
      <c r="E812" s="4">
        <f t="shared" si="13"/>
        <v>1363678839.5495045</v>
      </c>
      <c r="F812" s="4">
        <v>22333668.253293201</v>
      </c>
      <c r="G812" s="4"/>
      <c r="H812" s="4">
        <v>4089037892.4896898</v>
      </c>
      <c r="I812" s="4">
        <v>4111371560.7429829</v>
      </c>
      <c r="J812" s="3">
        <v>-17.00468840489447</v>
      </c>
      <c r="K812" s="4">
        <v>3710.376953125</v>
      </c>
      <c r="L812" s="4">
        <v>36923178</v>
      </c>
      <c r="M812" s="3">
        <v>16.031785200000002</v>
      </c>
      <c r="N812" s="3">
        <v>25.7528404</v>
      </c>
      <c r="O812" s="3">
        <v>26.340352200000002</v>
      </c>
      <c r="P812" s="3">
        <v>32.793360399999997</v>
      </c>
      <c r="Q812" s="3">
        <v>32.456801400000003</v>
      </c>
      <c r="R812" s="3">
        <v>25.257096199999999</v>
      </c>
      <c r="S812" s="2">
        <v>1</v>
      </c>
      <c r="T812" s="2">
        <v>2</v>
      </c>
      <c r="U812" s="2">
        <v>1</v>
      </c>
    </row>
    <row r="813" spans="1:21" x14ac:dyDescent="0.3">
      <c r="A813" s="5" t="s">
        <v>88</v>
      </c>
      <c r="B813" s="5">
        <v>2013</v>
      </c>
      <c r="C813" s="5" t="s">
        <v>89</v>
      </c>
      <c r="D813" s="9">
        <v>1792.768955</v>
      </c>
      <c r="E813" s="7">
        <f t="shared" si="13"/>
        <v>1576201170.5019431</v>
      </c>
      <c r="F813" s="7">
        <v>84296.189056175106</v>
      </c>
      <c r="G813" s="7"/>
      <c r="H813" s="7"/>
      <c r="I813" s="7">
        <v>84296.189056175106</v>
      </c>
      <c r="J813" s="6">
        <v>1.955144633024219</v>
      </c>
      <c r="K813" s="7">
        <v>3724.9599609375</v>
      </c>
      <c r="L813" s="7">
        <v>37785849</v>
      </c>
      <c r="M813" s="6">
        <v>16.088044499999999</v>
      </c>
      <c r="N813" s="6">
        <v>25.842253700000001</v>
      </c>
      <c r="O813" s="6">
        <v>27.3375077</v>
      </c>
      <c r="P813" s="6">
        <v>31.565200399999998</v>
      </c>
      <c r="Q813" s="6">
        <v>31.617583400000001</v>
      </c>
      <c r="R813" s="6">
        <v>25.142726199999998</v>
      </c>
      <c r="S813" s="5">
        <v>1</v>
      </c>
      <c r="T813" s="5">
        <v>1</v>
      </c>
      <c r="U813" s="5">
        <v>0</v>
      </c>
    </row>
    <row r="814" spans="1:21" x14ac:dyDescent="0.3">
      <c r="A814" s="2" t="s">
        <v>88</v>
      </c>
      <c r="B814" s="2">
        <v>2014</v>
      </c>
      <c r="C814" s="2" t="s">
        <v>89</v>
      </c>
      <c r="D814" s="8">
        <v>1021.998599</v>
      </c>
      <c r="E814" s="4">
        <f t="shared" si="13"/>
        <v>898540430.15551102</v>
      </c>
      <c r="F814" s="4">
        <v>44919818.4145035</v>
      </c>
      <c r="G814" s="4">
        <v>200937784.50064</v>
      </c>
      <c r="H814" s="4">
        <v>81925047.124228105</v>
      </c>
      <c r="I814" s="4">
        <v>327782650.03937161</v>
      </c>
      <c r="J814" s="3">
        <v>4.6613795422987323</v>
      </c>
      <c r="K814" s="4">
        <v>4260.57177734375</v>
      </c>
      <c r="L814" s="4">
        <v>38823318</v>
      </c>
      <c r="M814" s="3">
        <v>16.5592614</v>
      </c>
      <c r="N814" s="3">
        <v>25.881590899999999</v>
      </c>
      <c r="O814" s="3">
        <v>27.910711500000001</v>
      </c>
      <c r="P814" s="3">
        <v>32.286255599999997</v>
      </c>
      <c r="Q814" s="3">
        <v>32.235680000000002</v>
      </c>
      <c r="R814" s="3">
        <v>25.762004600000001</v>
      </c>
      <c r="S814" s="2">
        <v>1</v>
      </c>
      <c r="T814" s="2">
        <v>1</v>
      </c>
      <c r="U814" s="2">
        <v>0</v>
      </c>
    </row>
    <row r="815" spans="1:21" x14ac:dyDescent="0.3">
      <c r="A815" s="5" t="s">
        <v>88</v>
      </c>
      <c r="B815" s="5">
        <v>2015</v>
      </c>
      <c r="C815" s="5" t="s">
        <v>89</v>
      </c>
      <c r="D815" s="9">
        <v>1331.0547340000001</v>
      </c>
      <c r="E815" s="7">
        <f t="shared" si="13"/>
        <v>1170262360.8478053</v>
      </c>
      <c r="F815" s="7">
        <v>3030144.0378631698</v>
      </c>
      <c r="G815" s="7"/>
      <c r="H815" s="7"/>
      <c r="I815" s="7">
        <v>3030144.0378631698</v>
      </c>
      <c r="J815" s="6">
        <v>1.9101768905275089</v>
      </c>
      <c r="K815" s="7">
        <v>4217.01025390625</v>
      </c>
      <c r="L815" s="7">
        <v>40024431</v>
      </c>
      <c r="M815" s="6">
        <v>17.8810781</v>
      </c>
      <c r="N815" s="6">
        <v>26.190999699999999</v>
      </c>
      <c r="O815" s="6">
        <v>31.1066875</v>
      </c>
      <c r="P815" s="6">
        <v>31.840865900000001</v>
      </c>
      <c r="Q815" s="6">
        <v>31.317891700000001</v>
      </c>
      <c r="R815" s="6">
        <v>25.742678300000001</v>
      </c>
      <c r="S815" s="5">
        <v>1</v>
      </c>
      <c r="T815" s="5">
        <v>2</v>
      </c>
      <c r="U815" s="5">
        <v>1</v>
      </c>
    </row>
    <row r="816" spans="1:21" x14ac:dyDescent="0.3">
      <c r="A816" s="2" t="s">
        <v>88</v>
      </c>
      <c r="B816" s="2">
        <v>2016</v>
      </c>
      <c r="C816" s="2" t="s">
        <v>89</v>
      </c>
      <c r="D816" s="8">
        <v>1014.996247</v>
      </c>
      <c r="E816" s="4">
        <f t="shared" si="13"/>
        <v>892383967.33419514</v>
      </c>
      <c r="F816" s="4">
        <v>3609013.9187587402</v>
      </c>
      <c r="G816" s="4">
        <v>0</v>
      </c>
      <c r="H816" s="4"/>
      <c r="I816" s="4">
        <v>3609013.9187587402</v>
      </c>
      <c r="J816" s="3">
        <v>3.4676421840928811</v>
      </c>
      <c r="K816" s="4">
        <v>4470.35498046875</v>
      </c>
      <c r="L816" s="4">
        <v>41259892</v>
      </c>
      <c r="M816" s="3">
        <v>17.875438800000001</v>
      </c>
      <c r="N816" s="3">
        <v>26.5963122</v>
      </c>
      <c r="O816" s="3">
        <v>28.959627699999999</v>
      </c>
      <c r="P816" s="3">
        <v>32.594616799999997</v>
      </c>
      <c r="Q816" s="3">
        <v>31.475643300000002</v>
      </c>
      <c r="R816" s="3">
        <v>24.798879299999999</v>
      </c>
      <c r="S816" s="2">
        <v>1</v>
      </c>
      <c r="T816" s="2">
        <v>2</v>
      </c>
      <c r="U816" s="2">
        <v>1</v>
      </c>
    </row>
    <row r="817" spans="1:21" x14ac:dyDescent="0.3">
      <c r="A817" s="5" t="s">
        <v>88</v>
      </c>
      <c r="B817" s="5">
        <v>2017</v>
      </c>
      <c r="C817" s="5" t="s">
        <v>89</v>
      </c>
      <c r="D817" s="9">
        <v>1072.9702460000001</v>
      </c>
      <c r="E817" s="7">
        <f t="shared" si="13"/>
        <v>943354665.38629222</v>
      </c>
      <c r="F817" s="7">
        <v>95274351.740853399</v>
      </c>
      <c r="G817" s="7"/>
      <c r="H817" s="7"/>
      <c r="I817" s="7">
        <v>95274351.740853399</v>
      </c>
      <c r="J817" s="6">
        <v>0.70925628476643965</v>
      </c>
      <c r="K817" s="7">
        <v>4252.42138671875</v>
      </c>
      <c r="L817" s="7">
        <v>42714306</v>
      </c>
      <c r="M817" s="6">
        <v>17.888024999999999</v>
      </c>
      <c r="N817" s="6">
        <v>27.194375300000001</v>
      </c>
      <c r="O817" s="6">
        <v>32.630771099999997</v>
      </c>
      <c r="P817" s="6">
        <v>32.363950299999999</v>
      </c>
      <c r="Q817" s="6">
        <v>33.175248400000001</v>
      </c>
      <c r="R817" s="6">
        <v>24.831574</v>
      </c>
      <c r="S817" s="5">
        <v>1</v>
      </c>
      <c r="T817" s="5">
        <v>1</v>
      </c>
      <c r="U817" s="5">
        <v>0</v>
      </c>
    </row>
    <row r="818" spans="1:21" x14ac:dyDescent="0.3">
      <c r="A818" s="2" t="s">
        <v>88</v>
      </c>
      <c r="B818" s="2">
        <v>2018</v>
      </c>
      <c r="C818" s="2" t="s">
        <v>89</v>
      </c>
      <c r="D818" s="8">
        <v>1125.008358</v>
      </c>
      <c r="E818" s="4">
        <f t="shared" si="13"/>
        <v>989106535.87487471</v>
      </c>
      <c r="F818" s="4">
        <v>64566667.995617673</v>
      </c>
      <c r="G818" s="4"/>
      <c r="H818" s="4">
        <v>0</v>
      </c>
      <c r="I818" s="4">
        <v>64566667.995617673</v>
      </c>
      <c r="J818" s="3">
        <v>-2.6809305497998959</v>
      </c>
      <c r="K818" s="4">
        <v>4199.25048828125</v>
      </c>
      <c r="L818" s="4">
        <v>44230596</v>
      </c>
      <c r="M818" s="3">
        <v>17.118848700000001</v>
      </c>
      <c r="N818" s="3">
        <v>22.331713700000002</v>
      </c>
      <c r="O818" s="3">
        <v>36.574678599999999</v>
      </c>
      <c r="P818" s="3">
        <v>31.1206277</v>
      </c>
      <c r="Q818" s="3">
        <v>33.420951899999999</v>
      </c>
      <c r="R818" s="3">
        <v>24.3145697</v>
      </c>
      <c r="S818" s="2">
        <v>1</v>
      </c>
      <c r="T818" s="2">
        <v>1</v>
      </c>
      <c r="U818" s="2">
        <v>0</v>
      </c>
    </row>
    <row r="819" spans="1:21" x14ac:dyDescent="0.3">
      <c r="A819" s="5" t="s">
        <v>88</v>
      </c>
      <c r="B819" s="5">
        <v>2019</v>
      </c>
      <c r="C819" s="5" t="s">
        <v>89</v>
      </c>
      <c r="D819" s="9">
        <v>1802.4816189999999</v>
      </c>
      <c r="E819" s="7">
        <f t="shared" si="13"/>
        <v>1584740537.6762769</v>
      </c>
      <c r="F819" s="7">
        <v>15729904.571669901</v>
      </c>
      <c r="G819" s="7">
        <v>0</v>
      </c>
      <c r="H819" s="7">
        <v>14071321.3248438</v>
      </c>
      <c r="I819" s="7">
        <v>29801225.8965137</v>
      </c>
      <c r="J819" s="6">
        <v>-2.178251045300911</v>
      </c>
      <c r="K819" s="7">
        <v>3914.2255859375</v>
      </c>
      <c r="L819" s="7">
        <v>45548175</v>
      </c>
      <c r="M819" s="6">
        <v>18.077728700000002</v>
      </c>
      <c r="N819" s="6">
        <v>23.745589500000001</v>
      </c>
      <c r="O819" s="6">
        <v>37.618671900000002</v>
      </c>
      <c r="P819" s="6">
        <v>30.739703800000001</v>
      </c>
      <c r="Q819" s="6">
        <v>32.485736000000003</v>
      </c>
      <c r="R819" s="6">
        <v>27.2725516</v>
      </c>
      <c r="S819" s="5">
        <v>0</v>
      </c>
      <c r="T819" s="5">
        <v>0</v>
      </c>
      <c r="U819" s="5">
        <v>0</v>
      </c>
    </row>
    <row r="820" spans="1:21" x14ac:dyDescent="0.3">
      <c r="A820" s="2" t="s">
        <v>88</v>
      </c>
      <c r="B820" s="2">
        <v>2020</v>
      </c>
      <c r="C820" s="2" t="s">
        <v>89</v>
      </c>
      <c r="D820" s="8">
        <v>2645.7316369999999</v>
      </c>
      <c r="E820" s="4">
        <f t="shared" si="13"/>
        <v>2326125344.5084457</v>
      </c>
      <c r="F820" s="4">
        <v>2546388.3654432609</v>
      </c>
      <c r="G820" s="4"/>
      <c r="H820" s="4"/>
      <c r="I820" s="4">
        <v>2546388.3654432609</v>
      </c>
      <c r="J820" s="3">
        <v>-3.629800824107519</v>
      </c>
      <c r="K820" s="4">
        <v>3348.57836914063</v>
      </c>
      <c r="L820" s="4">
        <v>46789231</v>
      </c>
      <c r="M820" s="3">
        <v>19.862860000000001</v>
      </c>
      <c r="N820" s="3">
        <v>23.548582700000001</v>
      </c>
      <c r="O820" s="3">
        <v>42.182750800000001</v>
      </c>
      <c r="P820" s="3">
        <v>31.192133800000001</v>
      </c>
      <c r="Q820" s="3">
        <v>33.818500200000003</v>
      </c>
      <c r="R820" s="3">
        <v>29.4952662</v>
      </c>
      <c r="S820" s="2">
        <v>1</v>
      </c>
      <c r="T820" s="2">
        <v>1</v>
      </c>
      <c r="U820" s="2">
        <v>0</v>
      </c>
    </row>
    <row r="821" spans="1:21" x14ac:dyDescent="0.3">
      <c r="A821" s="5" t="s">
        <v>88</v>
      </c>
      <c r="B821" s="5">
        <v>2021</v>
      </c>
      <c r="C821" s="5" t="s">
        <v>89</v>
      </c>
      <c r="D821" s="9">
        <v>5274.0091519999996</v>
      </c>
      <c r="E821" s="7">
        <f t="shared" si="13"/>
        <v>4636905037.559823</v>
      </c>
      <c r="F821" s="7">
        <v>4500000</v>
      </c>
      <c r="G821" s="7">
        <v>0</v>
      </c>
      <c r="H821" s="7"/>
      <c r="I821" s="7">
        <v>4500000</v>
      </c>
      <c r="J821" s="6">
        <v>-1.8685204827206969</v>
      </c>
      <c r="K821" s="7">
        <v>3248.9755859375</v>
      </c>
      <c r="L821" s="7">
        <v>48066924</v>
      </c>
      <c r="M821" s="6">
        <v>21.6920976</v>
      </c>
      <c r="N821" s="6">
        <v>23.290478799999999</v>
      </c>
      <c r="O821" s="6">
        <v>35.443907400000001</v>
      </c>
      <c r="P821" s="6">
        <v>31.387640999999999</v>
      </c>
      <c r="Q821" s="6">
        <v>33.893757399999998</v>
      </c>
      <c r="R821" s="6">
        <v>31.209302399999999</v>
      </c>
      <c r="S821" s="5">
        <v>1</v>
      </c>
      <c r="T821" s="5">
        <v>1</v>
      </c>
      <c r="U821" s="5">
        <v>0</v>
      </c>
    </row>
    <row r="822" spans="1:21" x14ac:dyDescent="0.3">
      <c r="A822" s="5" t="s">
        <v>90</v>
      </c>
      <c r="B822" s="5">
        <v>2002</v>
      </c>
      <c r="C822" s="5" t="s">
        <v>91</v>
      </c>
      <c r="D822" s="9">
        <v>1934.1735779999999</v>
      </c>
      <c r="E822" s="7">
        <f t="shared" si="13"/>
        <v>1700524012.9214146</v>
      </c>
      <c r="F822" s="7">
        <v>67401122.901083559</v>
      </c>
      <c r="G822" s="7"/>
      <c r="H822" s="7"/>
      <c r="I822" s="7">
        <v>67401122.901083559</v>
      </c>
      <c r="J822" s="6">
        <v>7.0931949835550228</v>
      </c>
      <c r="K822" s="7">
        <v>1302.05554199219</v>
      </c>
      <c r="L822" s="7">
        <v>36121304</v>
      </c>
      <c r="M822" s="6">
        <v>32.516527400000001</v>
      </c>
      <c r="N822" s="6">
        <v>38.111482799999997</v>
      </c>
      <c r="O822" s="6">
        <v>55.346074599999987</v>
      </c>
      <c r="P822" s="6">
        <v>42.322324999999999</v>
      </c>
      <c r="Q822" s="6">
        <v>49.089206099999998</v>
      </c>
      <c r="R822" s="6">
        <v>45.198996399999999</v>
      </c>
      <c r="S822" s="5">
        <v>0</v>
      </c>
      <c r="T822" s="5">
        <v>0</v>
      </c>
      <c r="U822" s="5">
        <v>0</v>
      </c>
    </row>
    <row r="823" spans="1:21" x14ac:dyDescent="0.3">
      <c r="A823" s="2" t="s">
        <v>90</v>
      </c>
      <c r="B823" s="2">
        <v>2003</v>
      </c>
      <c r="C823" s="2" t="s">
        <v>91</v>
      </c>
      <c r="D823" s="8">
        <v>2119.0259569999998</v>
      </c>
      <c r="E823" s="4">
        <f t="shared" si="13"/>
        <v>1863046091.0382061</v>
      </c>
      <c r="F823" s="4">
        <v>487212.748075707</v>
      </c>
      <c r="G823" s="4"/>
      <c r="H823" s="4"/>
      <c r="I823" s="4">
        <v>487212.748075707</v>
      </c>
      <c r="J823" s="3">
        <v>6.6727898305349669</v>
      </c>
      <c r="K823" s="4">
        <v>1379.45776367188</v>
      </c>
      <c r="L823" s="4">
        <v>37089555</v>
      </c>
      <c r="M823" s="3">
        <v>33.286234</v>
      </c>
      <c r="N823" s="3">
        <v>36.235173799999998</v>
      </c>
      <c r="O823" s="3">
        <v>48.4553741</v>
      </c>
      <c r="P823" s="3">
        <v>43.767832400000003</v>
      </c>
      <c r="Q823" s="3">
        <v>49.3221737</v>
      </c>
      <c r="R823" s="3">
        <v>45.614645499999988</v>
      </c>
      <c r="S823" s="2">
        <v>0</v>
      </c>
      <c r="T823" s="2">
        <v>0</v>
      </c>
      <c r="U823" s="2">
        <v>0</v>
      </c>
    </row>
    <row r="824" spans="1:21" x14ac:dyDescent="0.3">
      <c r="A824" s="5" t="s">
        <v>90</v>
      </c>
      <c r="B824" s="5">
        <v>2004</v>
      </c>
      <c r="C824" s="5" t="s">
        <v>91</v>
      </c>
      <c r="D824" s="9">
        <v>2243.7828319999999</v>
      </c>
      <c r="E824" s="7">
        <f t="shared" si="13"/>
        <v>1972732245.4390473</v>
      </c>
      <c r="F824" s="7">
        <v>59209455.881239139</v>
      </c>
      <c r="G824" s="7">
        <v>0</v>
      </c>
      <c r="H824" s="7"/>
      <c r="I824" s="7">
        <v>59209455.881239139</v>
      </c>
      <c r="J824" s="6">
        <v>7.5038146585982872</v>
      </c>
      <c r="K824" s="7">
        <v>1482.162109375</v>
      </c>
      <c r="L824" s="7">
        <v>38109668</v>
      </c>
      <c r="M824" s="6">
        <v>35.609559300000001</v>
      </c>
      <c r="N824" s="6">
        <v>37.462087599999997</v>
      </c>
      <c r="O824" s="6">
        <v>54.439347400000003</v>
      </c>
      <c r="P824" s="6">
        <v>46.561861099999987</v>
      </c>
      <c r="Q824" s="6">
        <v>48.238725500000001</v>
      </c>
      <c r="R824" s="6">
        <v>48.615554000000003</v>
      </c>
      <c r="S824" s="5">
        <v>0</v>
      </c>
      <c r="T824" s="5">
        <v>0</v>
      </c>
      <c r="U824" s="5">
        <v>0</v>
      </c>
    </row>
    <row r="825" spans="1:21" x14ac:dyDescent="0.3">
      <c r="A825" s="2" t="s">
        <v>90</v>
      </c>
      <c r="B825" s="2">
        <v>2005</v>
      </c>
      <c r="C825" s="2" t="s">
        <v>91</v>
      </c>
      <c r="D825" s="8">
        <v>1949.555343</v>
      </c>
      <c r="E825" s="4">
        <f t="shared" si="13"/>
        <v>1714047649.6007357</v>
      </c>
      <c r="F825" s="4">
        <v>589371.41174026253</v>
      </c>
      <c r="G825" s="4"/>
      <c r="H825" s="4"/>
      <c r="I825" s="4">
        <v>589371.41174026253</v>
      </c>
      <c r="J825" s="3">
        <v>7.4763192597478394</v>
      </c>
      <c r="K825" s="4">
        <v>1598.03747558594</v>
      </c>
      <c r="L825" s="4">
        <v>39182076</v>
      </c>
      <c r="M825" s="3">
        <v>34.311912999999997</v>
      </c>
      <c r="N825" s="3">
        <v>40.904200199999998</v>
      </c>
      <c r="O825" s="3">
        <v>56.071733399999999</v>
      </c>
      <c r="P825" s="3">
        <v>47.800485299999998</v>
      </c>
      <c r="Q825" s="3">
        <v>50.807324800000004</v>
      </c>
      <c r="R825" s="3">
        <v>51.366105099999999</v>
      </c>
      <c r="S825" s="2">
        <v>0</v>
      </c>
      <c r="T825" s="2">
        <v>0</v>
      </c>
      <c r="U825" s="2">
        <v>0</v>
      </c>
    </row>
    <row r="826" spans="1:21" x14ac:dyDescent="0.3">
      <c r="A826" s="5" t="s">
        <v>90</v>
      </c>
      <c r="B826" s="5">
        <v>2006</v>
      </c>
      <c r="C826" s="5" t="s">
        <v>91</v>
      </c>
      <c r="D826" s="9">
        <v>7615.1769539999996</v>
      </c>
      <c r="E826" s="7">
        <f t="shared" si="13"/>
        <v>6695258078.2916451</v>
      </c>
      <c r="F826" s="7">
        <v>32447473.452405859</v>
      </c>
      <c r="G826" s="7">
        <v>0</v>
      </c>
      <c r="H826" s="7">
        <v>0</v>
      </c>
      <c r="I826" s="7">
        <v>32447473.452405859</v>
      </c>
      <c r="J826" s="6">
        <v>6.5322213884781348</v>
      </c>
      <c r="K826" s="7">
        <v>1706.54846191406</v>
      </c>
      <c r="L826" s="7">
        <v>40294902</v>
      </c>
      <c r="M826" s="6">
        <v>43.494438600000002</v>
      </c>
      <c r="N826" s="6">
        <v>43.077464200000001</v>
      </c>
      <c r="O826" s="6">
        <v>59.336783999999987</v>
      </c>
      <c r="P826" s="6">
        <v>48.560670999999999</v>
      </c>
      <c r="Q826" s="6">
        <v>49.724907599999987</v>
      </c>
      <c r="R826" s="6">
        <v>55.754885799999997</v>
      </c>
      <c r="S826" s="5">
        <v>0</v>
      </c>
      <c r="T826" s="5">
        <v>0</v>
      </c>
      <c r="U826" s="5">
        <v>0</v>
      </c>
    </row>
    <row r="827" spans="1:21" x14ac:dyDescent="0.3">
      <c r="A827" s="2" t="s">
        <v>90</v>
      </c>
      <c r="B827" s="2">
        <v>2007</v>
      </c>
      <c r="C827" s="2" t="s">
        <v>91</v>
      </c>
      <c r="D827" s="8">
        <v>2896.1843159999999</v>
      </c>
      <c r="E827" s="4">
        <f t="shared" si="13"/>
        <v>2546323159.0088358</v>
      </c>
      <c r="F827" s="4">
        <v>8120160.6543921903</v>
      </c>
      <c r="G827" s="4"/>
      <c r="H827" s="4"/>
      <c r="I827" s="4">
        <v>8120160.6543921903</v>
      </c>
      <c r="J827" s="3">
        <v>6.7685352029371586</v>
      </c>
      <c r="K827" s="4">
        <v>1820.00134277344</v>
      </c>
      <c r="L827" s="4">
        <v>41435512</v>
      </c>
      <c r="M827" s="3">
        <v>41.528252899999998</v>
      </c>
      <c r="N827" s="3">
        <v>43.378095899999998</v>
      </c>
      <c r="O827" s="3">
        <v>59.911403900000003</v>
      </c>
      <c r="P827" s="3">
        <v>48.607377999999997</v>
      </c>
      <c r="Q827" s="3">
        <v>50.583394699999999</v>
      </c>
      <c r="R827" s="3">
        <v>57.028048299999988</v>
      </c>
      <c r="S827" s="2">
        <v>0</v>
      </c>
      <c r="T827" s="2">
        <v>0</v>
      </c>
      <c r="U827" s="2">
        <v>0</v>
      </c>
    </row>
    <row r="828" spans="1:21" x14ac:dyDescent="0.3">
      <c r="A828" s="5" t="s">
        <v>90</v>
      </c>
      <c r="B828" s="5">
        <v>2008</v>
      </c>
      <c r="C828" s="5" t="s">
        <v>91</v>
      </c>
      <c r="D828" s="9">
        <v>2488.1079329999998</v>
      </c>
      <c r="E828" s="7">
        <f t="shared" si="13"/>
        <v>2187542697.7871614</v>
      </c>
      <c r="F828" s="7">
        <v>149260713.83217189</v>
      </c>
      <c r="G828" s="7">
        <v>0</v>
      </c>
      <c r="H828" s="7"/>
      <c r="I828" s="7">
        <v>149260713.83217189</v>
      </c>
      <c r="J828" s="6">
        <v>5.6864168590522439</v>
      </c>
      <c r="K828" s="7">
        <v>1908.37353515625</v>
      </c>
      <c r="L828" s="7">
        <v>42570728</v>
      </c>
      <c r="M828" s="6">
        <v>40.819106900000001</v>
      </c>
      <c r="N828" s="6">
        <v>41.298217700000002</v>
      </c>
      <c r="O828" s="6">
        <v>61.6990275</v>
      </c>
      <c r="P828" s="6">
        <v>47.690309399999997</v>
      </c>
      <c r="Q828" s="6">
        <v>50.187321300000001</v>
      </c>
      <c r="R828" s="6">
        <v>55.776749899999999</v>
      </c>
      <c r="S828" s="5">
        <v>0</v>
      </c>
      <c r="T828" s="5">
        <v>0</v>
      </c>
      <c r="U828" s="5">
        <v>0</v>
      </c>
    </row>
    <row r="829" spans="1:21" x14ac:dyDescent="0.3">
      <c r="A829" s="2" t="s">
        <v>90</v>
      </c>
      <c r="B829" s="2">
        <v>2009</v>
      </c>
      <c r="C829" s="2" t="s">
        <v>91</v>
      </c>
      <c r="D829" s="8">
        <v>3483.0062720000001</v>
      </c>
      <c r="E829" s="4">
        <f t="shared" si="13"/>
        <v>3062256598.9224243</v>
      </c>
      <c r="F829" s="4">
        <v>17779625.12767468</v>
      </c>
      <c r="G829" s="4"/>
      <c r="H829" s="4"/>
      <c r="I829" s="4">
        <v>17779625.12767468</v>
      </c>
      <c r="J829" s="3">
        <v>5.2691052487346326</v>
      </c>
      <c r="K829" s="4">
        <v>1972.16784667969</v>
      </c>
      <c r="L829" s="4">
        <v>43633982</v>
      </c>
      <c r="M829" s="3">
        <v>40.275941499999988</v>
      </c>
      <c r="N829" s="3">
        <v>42.385049000000002</v>
      </c>
      <c r="O829" s="3">
        <v>66.220612599999995</v>
      </c>
      <c r="P829" s="3">
        <v>48.254095100000001</v>
      </c>
      <c r="Q829" s="3">
        <v>50.695641100000003</v>
      </c>
      <c r="R829" s="3">
        <v>55.8102041</v>
      </c>
      <c r="S829" s="2">
        <v>0</v>
      </c>
      <c r="T829" s="2">
        <v>0</v>
      </c>
      <c r="U829" s="2">
        <v>0</v>
      </c>
    </row>
    <row r="830" spans="1:21" x14ac:dyDescent="0.3">
      <c r="A830" s="5" t="s">
        <v>90</v>
      </c>
      <c r="B830" s="5">
        <v>2010</v>
      </c>
      <c r="C830" s="5" t="s">
        <v>91</v>
      </c>
      <c r="D830" s="9">
        <v>3338.0388069999999</v>
      </c>
      <c r="E830" s="7">
        <f t="shared" si="13"/>
        <v>2934801308.3896298</v>
      </c>
      <c r="F830" s="7">
        <v>243262749.6190252</v>
      </c>
      <c r="G830" s="7">
        <v>0</v>
      </c>
      <c r="H830" s="7"/>
      <c r="I830" s="7">
        <v>243262749.6190252</v>
      </c>
      <c r="J830" s="6">
        <v>6.3365234266688901</v>
      </c>
      <c r="K830" s="7">
        <v>2069.40185546875</v>
      </c>
      <c r="L830" s="7">
        <v>44758488</v>
      </c>
      <c r="M830" s="6">
        <v>37.868194799999998</v>
      </c>
      <c r="N830" s="6">
        <v>42.533822999999998</v>
      </c>
      <c r="O830" s="6">
        <v>64.909638999999999</v>
      </c>
      <c r="P830" s="6">
        <v>48.241627800000003</v>
      </c>
      <c r="Q830" s="6">
        <v>50.390182099999997</v>
      </c>
      <c r="R830" s="6">
        <v>55.1767295</v>
      </c>
      <c r="S830" s="5">
        <v>0</v>
      </c>
      <c r="T830" s="5">
        <v>0</v>
      </c>
      <c r="U830" s="5">
        <v>0</v>
      </c>
    </row>
    <row r="831" spans="1:21" x14ac:dyDescent="0.3">
      <c r="A831" s="2" t="s">
        <v>90</v>
      </c>
      <c r="B831" s="2">
        <v>2011</v>
      </c>
      <c r="C831" s="2" t="s">
        <v>91</v>
      </c>
      <c r="D831" s="8">
        <v>2682.3782390000001</v>
      </c>
      <c r="E831" s="4">
        <f t="shared" si="13"/>
        <v>2358345010.5207453</v>
      </c>
      <c r="F831" s="4">
        <v>88898640.289082736</v>
      </c>
      <c r="G831" s="4">
        <v>0</v>
      </c>
      <c r="H831" s="4"/>
      <c r="I831" s="4">
        <v>88898640.289082736</v>
      </c>
      <c r="J831" s="3">
        <v>7.6721554348606418</v>
      </c>
      <c r="K831" s="4">
        <v>2211.466796875</v>
      </c>
      <c r="L831" s="4">
        <v>46029367</v>
      </c>
      <c r="M831" s="3">
        <v>37.1932489</v>
      </c>
      <c r="N831" s="3">
        <v>41.7713471</v>
      </c>
      <c r="O831" s="3">
        <v>63.1766936</v>
      </c>
      <c r="P831" s="3">
        <v>48.015572800000001</v>
      </c>
      <c r="Q831" s="3">
        <v>50.388414599999997</v>
      </c>
      <c r="R831" s="3">
        <v>55.722455399999987</v>
      </c>
      <c r="S831" s="2">
        <v>0</v>
      </c>
      <c r="T831" s="2">
        <v>0</v>
      </c>
      <c r="U831" s="2">
        <v>0</v>
      </c>
    </row>
    <row r="832" spans="1:21" x14ac:dyDescent="0.3">
      <c r="A832" s="5" t="s">
        <v>90</v>
      </c>
      <c r="B832" s="5">
        <v>2012</v>
      </c>
      <c r="C832" s="5" t="s">
        <v>91</v>
      </c>
      <c r="D832" s="9">
        <v>3106.3166580000002</v>
      </c>
      <c r="E832" s="7">
        <f t="shared" si="13"/>
        <v>2731071362.3380904</v>
      </c>
      <c r="F832" s="7">
        <v>11098.527145497401</v>
      </c>
      <c r="G832" s="7">
        <v>1368206182.0509801</v>
      </c>
      <c r="H832" s="7"/>
      <c r="I832" s="7">
        <v>1368217280.578125</v>
      </c>
      <c r="J832" s="6">
        <v>4.5001535601013103</v>
      </c>
      <c r="K832" s="7">
        <v>2083.48486328125</v>
      </c>
      <c r="L832" s="7">
        <v>47374260</v>
      </c>
      <c r="M832" s="6">
        <v>35.336614399999988</v>
      </c>
      <c r="N832" s="6">
        <v>39.648452900000002</v>
      </c>
      <c r="O832" s="6">
        <v>63.766022499999998</v>
      </c>
      <c r="P832" s="6">
        <v>47.215457099999988</v>
      </c>
      <c r="Q832" s="6">
        <v>49.4698639</v>
      </c>
      <c r="R832" s="6">
        <v>54.306201199999997</v>
      </c>
      <c r="S832" s="5">
        <v>0</v>
      </c>
      <c r="T832" s="5">
        <v>0</v>
      </c>
      <c r="U832" s="5">
        <v>0</v>
      </c>
    </row>
    <row r="833" spans="1:21" x14ac:dyDescent="0.3">
      <c r="A833" s="2" t="s">
        <v>90</v>
      </c>
      <c r="B833" s="2">
        <v>2013</v>
      </c>
      <c r="C833" s="2" t="s">
        <v>91</v>
      </c>
      <c r="D833" s="8">
        <v>3889.1532710000001</v>
      </c>
      <c r="E833" s="4">
        <f t="shared" si="13"/>
        <v>3419340747.1246958</v>
      </c>
      <c r="F833" s="4">
        <v>31291146.97565987</v>
      </c>
      <c r="G833" s="4">
        <v>145678484.52065989</v>
      </c>
      <c r="H833" s="4">
        <v>21432694.491606802</v>
      </c>
      <c r="I833" s="4">
        <v>198402325.9879266</v>
      </c>
      <c r="J833" s="3">
        <v>6.781585600653159</v>
      </c>
      <c r="K833" s="4">
        <v>2176.21655273438</v>
      </c>
      <c r="L833" s="4">
        <v>48824128</v>
      </c>
      <c r="M833" s="3">
        <v>34.635160200000001</v>
      </c>
      <c r="N833" s="3">
        <v>40.212568599999997</v>
      </c>
      <c r="O833" s="3">
        <v>58.6799879</v>
      </c>
      <c r="P833" s="3">
        <v>47.995969000000002</v>
      </c>
      <c r="Q833" s="3">
        <v>48.471450300000001</v>
      </c>
      <c r="R833" s="3">
        <v>53.680951099999987</v>
      </c>
      <c r="S833" s="2">
        <v>0</v>
      </c>
      <c r="T833" s="2">
        <v>0</v>
      </c>
      <c r="U833" s="2">
        <v>0</v>
      </c>
    </row>
    <row r="834" spans="1:21" x14ac:dyDescent="0.3">
      <c r="A834" s="5" t="s">
        <v>90</v>
      </c>
      <c r="B834" s="5">
        <v>2014</v>
      </c>
      <c r="C834" s="5" t="s">
        <v>91</v>
      </c>
      <c r="D834" s="9">
        <v>2933.1287849999999</v>
      </c>
      <c r="E834" s="7">
        <f t="shared" si="13"/>
        <v>2578804709.4724159</v>
      </c>
      <c r="F834" s="7">
        <v>355415.08785964758</v>
      </c>
      <c r="G834" s="7">
        <v>332128569.42254603</v>
      </c>
      <c r="H834" s="7"/>
      <c r="I834" s="7">
        <v>332483984.51040572</v>
      </c>
      <c r="J834" s="6">
        <v>6.7324618683248332</v>
      </c>
      <c r="K834" s="7">
        <v>2221.1796875</v>
      </c>
      <c r="L834" s="7">
        <v>50351512</v>
      </c>
      <c r="M834" s="6">
        <v>35.079148099999998</v>
      </c>
      <c r="N834" s="6">
        <v>41.961367699999997</v>
      </c>
      <c r="O834" s="6">
        <v>57.235871799999998</v>
      </c>
      <c r="P834" s="6">
        <v>48.195455299999999</v>
      </c>
      <c r="Q834" s="6">
        <v>48.970700099999988</v>
      </c>
      <c r="R834" s="6">
        <v>53.921356499999987</v>
      </c>
      <c r="S834" s="5">
        <v>0</v>
      </c>
      <c r="T834" s="5">
        <v>0</v>
      </c>
      <c r="U834" s="5">
        <v>0</v>
      </c>
    </row>
    <row r="835" spans="1:21" x14ac:dyDescent="0.3">
      <c r="A835" s="2" t="s">
        <v>90</v>
      </c>
      <c r="B835" s="2">
        <v>2015</v>
      </c>
      <c r="C835" s="2" t="s">
        <v>91</v>
      </c>
      <c r="D835" s="8">
        <v>3187.54909</v>
      </c>
      <c r="E835" s="4">
        <f t="shared" si="13"/>
        <v>2802490857.8865943</v>
      </c>
      <c r="F835" s="4">
        <v>103956733.7765507</v>
      </c>
      <c r="G835" s="4">
        <v>270030724.79639119</v>
      </c>
      <c r="H835" s="4"/>
      <c r="I835" s="4">
        <v>373987458.57294178</v>
      </c>
      <c r="J835" s="3">
        <v>6.1606287740668222</v>
      </c>
      <c r="K835" s="4">
        <v>2317.27978515625</v>
      </c>
      <c r="L835" s="4">
        <v>52020962</v>
      </c>
      <c r="M835" s="3">
        <v>36.062836099999998</v>
      </c>
      <c r="N835" s="3">
        <v>43.815582499999998</v>
      </c>
      <c r="O835" s="3">
        <v>57.750168100000003</v>
      </c>
      <c r="P835" s="3">
        <v>48.002395800000002</v>
      </c>
      <c r="Q835" s="3">
        <v>50.040123299999998</v>
      </c>
      <c r="R835" s="3">
        <v>53.447446900000003</v>
      </c>
      <c r="S835" s="2">
        <v>0</v>
      </c>
      <c r="T835" s="2">
        <v>0</v>
      </c>
      <c r="U835" s="2">
        <v>0</v>
      </c>
    </row>
    <row r="836" spans="1:21" x14ac:dyDescent="0.3">
      <c r="A836" s="5" t="s">
        <v>90</v>
      </c>
      <c r="B836" s="5">
        <v>2016</v>
      </c>
      <c r="C836" s="5" t="s">
        <v>91</v>
      </c>
      <c r="D836" s="9">
        <v>2885.561596</v>
      </c>
      <c r="E836" s="7">
        <f t="shared" si="13"/>
        <v>2536983671.2565422</v>
      </c>
      <c r="F836" s="7">
        <v>1484916.1741552339</v>
      </c>
      <c r="G836" s="7">
        <v>3813998.5619978402</v>
      </c>
      <c r="H836" s="7"/>
      <c r="I836" s="7">
        <v>5298914.7361530736</v>
      </c>
      <c r="J836" s="6">
        <v>6.8671161964455081</v>
      </c>
      <c r="K836" s="7">
        <v>2434.69995117188</v>
      </c>
      <c r="L836" s="7">
        <v>53824013</v>
      </c>
      <c r="M836" s="6">
        <v>39.040414400000003</v>
      </c>
      <c r="N836" s="6">
        <v>44.504655199999988</v>
      </c>
      <c r="O836" s="6">
        <v>56.711786099999998</v>
      </c>
      <c r="P836" s="6">
        <v>48.343615200000002</v>
      </c>
      <c r="Q836" s="6">
        <v>49.425652999999997</v>
      </c>
      <c r="R836" s="6">
        <v>51.945540800000003</v>
      </c>
      <c r="S836" s="5">
        <v>0</v>
      </c>
      <c r="T836" s="5">
        <v>0</v>
      </c>
      <c r="U836" s="5">
        <v>0</v>
      </c>
    </row>
    <row r="837" spans="1:21" x14ac:dyDescent="0.3">
      <c r="A837" s="2" t="s">
        <v>90</v>
      </c>
      <c r="B837" s="2">
        <v>2017</v>
      </c>
      <c r="C837" s="2" t="s">
        <v>91</v>
      </c>
      <c r="D837" s="8">
        <v>3274.2169349999999</v>
      </c>
      <c r="E837" s="4">
        <f t="shared" si="13"/>
        <v>2878689164.6192546</v>
      </c>
      <c r="F837" s="4">
        <v>16642622.12624467</v>
      </c>
      <c r="G837" s="4"/>
      <c r="H837" s="4"/>
      <c r="I837" s="4">
        <v>16642622.12624467</v>
      </c>
      <c r="J837" s="3">
        <v>6.7272699683233839</v>
      </c>
      <c r="K837" s="4">
        <v>2472.4931640625</v>
      </c>
      <c r="L837" s="4">
        <v>55652890</v>
      </c>
      <c r="M837" s="3">
        <v>40.760987399999998</v>
      </c>
      <c r="N837" s="3">
        <v>44.388307999999988</v>
      </c>
      <c r="O837" s="3">
        <v>54.213485899999988</v>
      </c>
      <c r="P837" s="3">
        <v>46.105838299999988</v>
      </c>
      <c r="Q837" s="3">
        <v>48.586536600000002</v>
      </c>
      <c r="R837" s="3">
        <v>51.287813</v>
      </c>
      <c r="S837" s="2">
        <v>0</v>
      </c>
      <c r="T837" s="2">
        <v>0</v>
      </c>
      <c r="U837" s="2">
        <v>0</v>
      </c>
    </row>
    <row r="838" spans="1:21" x14ac:dyDescent="0.3">
      <c r="A838" s="5" t="s">
        <v>90</v>
      </c>
      <c r="B838" s="5">
        <v>2018</v>
      </c>
      <c r="C838" s="5" t="s">
        <v>91</v>
      </c>
      <c r="D838" s="9">
        <v>3042.448069</v>
      </c>
      <c r="E838" s="7">
        <f t="shared" si="13"/>
        <v>2674918145.0150537</v>
      </c>
      <c r="F838" s="7">
        <v>120661690.4728204</v>
      </c>
      <c r="G838" s="7">
        <v>2954076.4154388001</v>
      </c>
      <c r="H838" s="7">
        <v>174174873.772291</v>
      </c>
      <c r="I838" s="7">
        <v>297790640.66055018</v>
      </c>
      <c r="J838" s="6">
        <v>5.5026759938506302</v>
      </c>
      <c r="K838" s="7">
        <v>2727.88012695313</v>
      </c>
      <c r="L838" s="7">
        <v>57437145</v>
      </c>
      <c r="M838" s="6">
        <v>40.980553399999998</v>
      </c>
      <c r="N838" s="6">
        <v>42.280228200000003</v>
      </c>
      <c r="O838" s="6">
        <v>54.549339199999999</v>
      </c>
      <c r="P838" s="6">
        <v>44.666464300000001</v>
      </c>
      <c r="Q838" s="6">
        <v>47.463150900000002</v>
      </c>
      <c r="R838" s="6">
        <v>49.357372499999997</v>
      </c>
      <c r="S838" s="5">
        <v>0</v>
      </c>
      <c r="T838" s="5">
        <v>0</v>
      </c>
      <c r="U838" s="5">
        <v>0</v>
      </c>
    </row>
    <row r="839" spans="1:21" x14ac:dyDescent="0.3">
      <c r="A839" s="2" t="s">
        <v>90</v>
      </c>
      <c r="B839" s="2">
        <v>2019</v>
      </c>
      <c r="C839" s="2" t="s">
        <v>91</v>
      </c>
      <c r="D839" s="8">
        <v>2628.6396450000002</v>
      </c>
      <c r="E839" s="4">
        <f t="shared" si="13"/>
        <v>2311098077.4858475</v>
      </c>
      <c r="F839" s="4">
        <v>19618048.512231551</v>
      </c>
      <c r="G839" s="4">
        <v>47189713.715009801</v>
      </c>
      <c r="H839" s="4"/>
      <c r="I839" s="4">
        <v>66807762.227241352</v>
      </c>
      <c r="J839" s="3">
        <v>5.7999999999672269</v>
      </c>
      <c r="K839" s="4">
        <v>2981.87451171875</v>
      </c>
      <c r="L839" s="4">
        <v>59174891</v>
      </c>
      <c r="M839" s="3">
        <v>42.127825299999998</v>
      </c>
      <c r="N839" s="3">
        <v>41.426521000000001</v>
      </c>
      <c r="O839" s="3">
        <v>56.4616756</v>
      </c>
      <c r="P839" s="3">
        <v>43.9393435</v>
      </c>
      <c r="Q839" s="3">
        <v>47.105836099999998</v>
      </c>
      <c r="R839" s="3">
        <v>48.382005999999997</v>
      </c>
      <c r="S839" s="2">
        <v>0</v>
      </c>
      <c r="T839" s="2">
        <v>0</v>
      </c>
      <c r="U839" s="2">
        <v>0</v>
      </c>
    </row>
    <row r="840" spans="1:21" x14ac:dyDescent="0.3">
      <c r="A840" s="5" t="s">
        <v>90</v>
      </c>
      <c r="B840" s="5">
        <v>2020</v>
      </c>
      <c r="C840" s="5" t="s">
        <v>91</v>
      </c>
      <c r="D840" s="9">
        <v>2801.2012589999999</v>
      </c>
      <c r="E840" s="7">
        <f t="shared" si="13"/>
        <v>2462814123.8910046</v>
      </c>
      <c r="F840" s="7">
        <v>56867617.217947289</v>
      </c>
      <c r="G840" s="7"/>
      <c r="H840" s="7"/>
      <c r="I840" s="7">
        <v>56867617.217947289</v>
      </c>
      <c r="J840" s="6">
        <v>1.991964606478547</v>
      </c>
      <c r="K840" s="7">
        <v>3290.60986328125</v>
      </c>
      <c r="L840" s="7">
        <v>60972798</v>
      </c>
      <c r="M840" s="6">
        <v>42.712455499999997</v>
      </c>
      <c r="N840" s="6">
        <v>41.844476100000001</v>
      </c>
      <c r="O840" s="6">
        <v>54.570352999999997</v>
      </c>
      <c r="P840" s="6">
        <v>43.438648200000003</v>
      </c>
      <c r="Q840" s="6">
        <v>47.2373878</v>
      </c>
      <c r="R840" s="6">
        <v>46.401867199999998</v>
      </c>
      <c r="S840" s="5">
        <v>1</v>
      </c>
      <c r="T840" s="5">
        <v>1</v>
      </c>
      <c r="U840" s="5">
        <v>0</v>
      </c>
    </row>
    <row r="841" spans="1:21" x14ac:dyDescent="0.3">
      <c r="A841" s="2" t="s">
        <v>90</v>
      </c>
      <c r="B841" s="2">
        <v>2021</v>
      </c>
      <c r="C841" s="2" t="s">
        <v>91</v>
      </c>
      <c r="D841" s="8">
        <v>2990.5734339999999</v>
      </c>
      <c r="E841" s="4">
        <f t="shared" si="13"/>
        <v>2629310003.3868084</v>
      </c>
      <c r="F841" s="4">
        <v>156860873.63052371</v>
      </c>
      <c r="G841" s="4"/>
      <c r="H841" s="4">
        <v>0</v>
      </c>
      <c r="I841" s="4">
        <v>156860873.63052371</v>
      </c>
      <c r="J841" s="3">
        <v>4.3213842948048153</v>
      </c>
      <c r="K841" s="4">
        <v>3493.0830078125</v>
      </c>
      <c r="L841" s="4">
        <v>62830412</v>
      </c>
      <c r="M841" s="3">
        <v>40.739057699999996</v>
      </c>
      <c r="N841" s="3">
        <v>41.874334300000001</v>
      </c>
      <c r="O841" s="3">
        <v>56.070761500000003</v>
      </c>
      <c r="P841" s="3">
        <v>44.211733299999999</v>
      </c>
      <c r="Q841" s="3">
        <v>47.239650999999988</v>
      </c>
      <c r="R841" s="3">
        <v>44.424362500000001</v>
      </c>
      <c r="S841" s="2">
        <v>0</v>
      </c>
      <c r="T841" s="2">
        <v>0</v>
      </c>
      <c r="U841" s="2">
        <v>0</v>
      </c>
    </row>
    <row r="842" spans="1:21" x14ac:dyDescent="0.3">
      <c r="A842" s="2" t="s">
        <v>92</v>
      </c>
      <c r="B842" s="2">
        <v>2002</v>
      </c>
      <c r="C842" s="2" t="s">
        <v>93</v>
      </c>
      <c r="D842" s="8">
        <v>90.269874000000002</v>
      </c>
      <c r="E842" s="4">
        <f t="shared" si="13"/>
        <v>79365208.028082401</v>
      </c>
      <c r="F842" s="4">
        <v>905925.758534097</v>
      </c>
      <c r="G842" s="4"/>
      <c r="H842" s="4"/>
      <c r="I842" s="4">
        <v>905925.758534097</v>
      </c>
      <c r="J842" s="3">
        <v>3.826622576751419</v>
      </c>
      <c r="K842" s="4">
        <v>1357.009817023901</v>
      </c>
      <c r="L842" s="4">
        <v>5413274</v>
      </c>
      <c r="M842" s="3">
        <v>29.614814299999999</v>
      </c>
      <c r="N842" s="3">
        <v>19.275874000000002</v>
      </c>
      <c r="O842" s="3">
        <v>61.836857299999998</v>
      </c>
      <c r="P842" s="3">
        <v>38.829959899999999</v>
      </c>
      <c r="Q842" s="3">
        <v>38.813788099999996</v>
      </c>
      <c r="R842" s="3">
        <v>30.164255099999998</v>
      </c>
      <c r="S842" s="2">
        <v>0</v>
      </c>
      <c r="T842" s="2">
        <v>0</v>
      </c>
      <c r="U842" s="2">
        <v>0</v>
      </c>
    </row>
    <row r="843" spans="1:21" x14ac:dyDescent="0.3">
      <c r="A843" s="5" t="s">
        <v>92</v>
      </c>
      <c r="B843" s="5">
        <v>2003</v>
      </c>
      <c r="C843" s="5" t="s">
        <v>93</v>
      </c>
      <c r="D843" s="9">
        <v>85.174812000000003</v>
      </c>
      <c r="E843" s="7">
        <f t="shared" si="13"/>
        <v>74885633.197325721</v>
      </c>
      <c r="F843" s="7">
        <v>7048813.9277627198</v>
      </c>
      <c r="G843" s="7"/>
      <c r="H843" s="7"/>
      <c r="I843" s="7">
        <v>7048813.9277627198</v>
      </c>
      <c r="J843" s="6">
        <v>6.7201714233603411</v>
      </c>
      <c r="K843" s="7">
        <v>1439.851783314147</v>
      </c>
      <c r="L843" s="7">
        <v>5552167</v>
      </c>
      <c r="M843" s="6">
        <v>29.585369</v>
      </c>
      <c r="N843" s="6">
        <v>19.145812899999999</v>
      </c>
      <c r="O843" s="6">
        <v>56.742223799999998</v>
      </c>
      <c r="P843" s="6">
        <v>38.830404700000003</v>
      </c>
      <c r="Q843" s="6">
        <v>36.464654400000001</v>
      </c>
      <c r="R843" s="6">
        <v>31.7063311</v>
      </c>
      <c r="S843" s="5">
        <v>0</v>
      </c>
      <c r="T843" s="5">
        <v>0</v>
      </c>
      <c r="U843" s="5">
        <v>0</v>
      </c>
    </row>
    <row r="844" spans="1:21" x14ac:dyDescent="0.3">
      <c r="A844" s="2" t="s">
        <v>92</v>
      </c>
      <c r="B844" s="2">
        <v>2004</v>
      </c>
      <c r="C844" s="2" t="s">
        <v>93</v>
      </c>
      <c r="D844" s="8">
        <v>85.806039999999996</v>
      </c>
      <c r="E844" s="4">
        <f t="shared" si="13"/>
        <v>75440608.399054155</v>
      </c>
      <c r="F844" s="4">
        <v>40715211.734225467</v>
      </c>
      <c r="G844" s="4"/>
      <c r="H844" s="4"/>
      <c r="I844" s="4">
        <v>40715211.734225467</v>
      </c>
      <c r="J844" s="3">
        <v>-0.97866533273874268</v>
      </c>
      <c r="K844" s="4">
        <v>1427.0022843954671</v>
      </c>
      <c r="L844" s="4">
        <v>5696508</v>
      </c>
      <c r="M844" s="3">
        <v>29.1762005</v>
      </c>
      <c r="N844" s="3">
        <v>21.169719600000001</v>
      </c>
      <c r="O844" s="3">
        <v>54.325126099999999</v>
      </c>
      <c r="P844" s="3">
        <v>35.5897042</v>
      </c>
      <c r="Q844" s="3">
        <v>39.007133099999997</v>
      </c>
      <c r="R844" s="3">
        <v>35.2139034</v>
      </c>
      <c r="S844" s="2">
        <v>0</v>
      </c>
      <c r="T844" s="2">
        <v>0</v>
      </c>
      <c r="U844" s="2">
        <v>0</v>
      </c>
    </row>
    <row r="845" spans="1:21" x14ac:dyDescent="0.3">
      <c r="A845" s="5" t="s">
        <v>92</v>
      </c>
      <c r="B845" s="5">
        <v>2005</v>
      </c>
      <c r="C845" s="5" t="s">
        <v>93</v>
      </c>
      <c r="D845" s="9">
        <v>101.37854799999999</v>
      </c>
      <c r="E845" s="7">
        <f t="shared" si="13"/>
        <v>89131946.186220855</v>
      </c>
      <c r="F845" s="7">
        <v>18309497.118667491</v>
      </c>
      <c r="G845" s="7"/>
      <c r="H845" s="7"/>
      <c r="I845" s="7">
        <v>18309497.118667491</v>
      </c>
      <c r="J845" s="6">
        <v>-4.6662993841333824</v>
      </c>
      <c r="K845" s="7">
        <v>1367.5106628984679</v>
      </c>
      <c r="L845" s="7">
        <v>5844631</v>
      </c>
      <c r="M845" s="6">
        <v>28.926116400000002</v>
      </c>
      <c r="N845" s="6">
        <v>18.076946</v>
      </c>
      <c r="O845" s="6">
        <v>34.205523800000002</v>
      </c>
      <c r="P845" s="6">
        <v>36.4910456</v>
      </c>
      <c r="Q845" s="6">
        <v>37.034337299999997</v>
      </c>
      <c r="R845" s="6">
        <v>34.061751299999997</v>
      </c>
      <c r="S845" s="5">
        <v>0</v>
      </c>
      <c r="T845" s="5">
        <v>0</v>
      </c>
      <c r="U845" s="5">
        <v>0</v>
      </c>
    </row>
    <row r="846" spans="1:21" x14ac:dyDescent="0.3">
      <c r="A846" s="2" t="s">
        <v>92</v>
      </c>
      <c r="B846" s="2">
        <v>2006</v>
      </c>
      <c r="C846" s="2" t="s">
        <v>93</v>
      </c>
      <c r="D846" s="8">
        <v>100.476322</v>
      </c>
      <c r="E846" s="4">
        <f t="shared" si="13"/>
        <v>88338709.738606632</v>
      </c>
      <c r="F846" s="4">
        <v>77724403.674280003</v>
      </c>
      <c r="G846" s="4"/>
      <c r="H846" s="4"/>
      <c r="I846" s="4">
        <v>77724403.674280003</v>
      </c>
      <c r="J846" s="3">
        <v>2.6501320994347282</v>
      </c>
      <c r="K846" s="4">
        <v>1407.0682559629499</v>
      </c>
      <c r="L846" s="4">
        <v>6010668</v>
      </c>
      <c r="M846" s="3">
        <v>26.155141400000002</v>
      </c>
      <c r="N846" s="3">
        <v>20.607639599999999</v>
      </c>
      <c r="O846" s="3">
        <v>49.920232300000002</v>
      </c>
      <c r="P846" s="3">
        <v>39.739532500000003</v>
      </c>
      <c r="Q846" s="3">
        <v>40.054850199999997</v>
      </c>
      <c r="R846" s="3">
        <v>36.480292499999997</v>
      </c>
      <c r="S846" s="2">
        <v>0</v>
      </c>
      <c r="T846" s="2">
        <v>0</v>
      </c>
      <c r="U846" s="2">
        <v>0</v>
      </c>
    </row>
    <row r="847" spans="1:21" x14ac:dyDescent="0.3">
      <c r="A847" s="5" t="s">
        <v>92</v>
      </c>
      <c r="B847" s="5">
        <v>2007</v>
      </c>
      <c r="C847" s="5" t="s">
        <v>93</v>
      </c>
      <c r="D847" s="9">
        <v>147.80772200000001</v>
      </c>
      <c r="E847" s="7">
        <f t="shared" si="13"/>
        <v>129952442.43596679</v>
      </c>
      <c r="F847" s="7">
        <v>35257485.988778718</v>
      </c>
      <c r="G847" s="7"/>
      <c r="H847" s="7">
        <v>0</v>
      </c>
      <c r="I847" s="7">
        <v>35257485.988778718</v>
      </c>
      <c r="J847" s="6">
        <v>-1.1751368996605009</v>
      </c>
      <c r="K847" s="7">
        <v>1387.2006173399061</v>
      </c>
      <c r="L847" s="7">
        <v>6188344</v>
      </c>
      <c r="M847" s="6">
        <v>26.883144300000001</v>
      </c>
      <c r="N847" s="6">
        <v>21.136724999999998</v>
      </c>
      <c r="O847" s="6">
        <v>56.311946900000002</v>
      </c>
      <c r="P847" s="6">
        <v>38.556059300000001</v>
      </c>
      <c r="Q847" s="6">
        <v>39.888415799999997</v>
      </c>
      <c r="R847" s="6">
        <v>39.004268699999997</v>
      </c>
      <c r="S847" s="5">
        <v>0</v>
      </c>
      <c r="T847" s="5">
        <v>0</v>
      </c>
      <c r="U847" s="5">
        <v>0</v>
      </c>
    </row>
    <row r="848" spans="1:21" x14ac:dyDescent="0.3">
      <c r="A848" s="2" t="s">
        <v>92</v>
      </c>
      <c r="B848" s="2">
        <v>2008</v>
      </c>
      <c r="C848" s="2" t="s">
        <v>93</v>
      </c>
      <c r="D848" s="8">
        <v>477.67854699999998</v>
      </c>
      <c r="E848" s="4">
        <f t="shared" si="13"/>
        <v>419974633.54393446</v>
      </c>
      <c r="F848" s="4">
        <v>23563770.48107817</v>
      </c>
      <c r="G848" s="4">
        <v>0</v>
      </c>
      <c r="H848" s="4"/>
      <c r="I848" s="4">
        <v>23563770.48107817</v>
      </c>
      <c r="J848" s="3">
        <v>4.0356131539886206</v>
      </c>
      <c r="K848" s="4">
        <v>1429.306364929306</v>
      </c>
      <c r="L848" s="4">
        <v>6368812</v>
      </c>
      <c r="M848" s="3">
        <v>26.799848399999998</v>
      </c>
      <c r="N848" s="3">
        <v>22.1588505</v>
      </c>
      <c r="O848" s="3">
        <v>59.878004199999999</v>
      </c>
      <c r="P848" s="3">
        <v>39.399823900000001</v>
      </c>
      <c r="Q848" s="3">
        <v>42.123531999999997</v>
      </c>
      <c r="R848" s="3">
        <v>41.011000799999998</v>
      </c>
      <c r="S848" s="2">
        <v>0</v>
      </c>
      <c r="T848" s="2">
        <v>0</v>
      </c>
      <c r="U848" s="2">
        <v>0</v>
      </c>
    </row>
    <row r="849" spans="1:21" x14ac:dyDescent="0.3">
      <c r="A849" s="5" t="s">
        <v>92</v>
      </c>
      <c r="B849" s="5">
        <v>2009</v>
      </c>
      <c r="C849" s="5" t="s">
        <v>93</v>
      </c>
      <c r="D849" s="9">
        <v>595.99220700000001</v>
      </c>
      <c r="E849" s="7">
        <f t="shared" si="13"/>
        <v>523995917.97005224</v>
      </c>
      <c r="F849" s="7">
        <v>53777570.864492849</v>
      </c>
      <c r="G849" s="7">
        <v>250858025.95871499</v>
      </c>
      <c r="H849" s="7"/>
      <c r="I849" s="7">
        <v>304635596.82320791</v>
      </c>
      <c r="J849" s="6">
        <v>5.4538109692033174</v>
      </c>
      <c r="K849" s="7">
        <v>1474.1833899348169</v>
      </c>
      <c r="L849" s="7">
        <v>6551865</v>
      </c>
      <c r="M849" s="6">
        <v>26.9389523</v>
      </c>
      <c r="N849" s="6">
        <v>23.200593000000001</v>
      </c>
      <c r="O849" s="6">
        <v>58.745374599999998</v>
      </c>
      <c r="P849" s="6">
        <v>40.470823299999999</v>
      </c>
      <c r="Q849" s="6">
        <v>41.763458200000002</v>
      </c>
      <c r="R849" s="6">
        <v>39.903154499999999</v>
      </c>
      <c r="S849" s="5">
        <v>0</v>
      </c>
      <c r="T849" s="5">
        <v>0</v>
      </c>
      <c r="U849" s="5">
        <v>0</v>
      </c>
    </row>
    <row r="850" spans="1:21" x14ac:dyDescent="0.3">
      <c r="A850" s="2" t="s">
        <v>92</v>
      </c>
      <c r="B850" s="2">
        <v>2010</v>
      </c>
      <c r="C850" s="2" t="s">
        <v>93</v>
      </c>
      <c r="D850" s="8">
        <v>571.40330200000005</v>
      </c>
      <c r="E850" s="4">
        <f t="shared" si="13"/>
        <v>502377370.45210898</v>
      </c>
      <c r="F850" s="4">
        <v>58931840.981039941</v>
      </c>
      <c r="G850" s="4"/>
      <c r="H850" s="4"/>
      <c r="I850" s="4">
        <v>58931840.981039941</v>
      </c>
      <c r="J850" s="3">
        <v>5.8543339907687937</v>
      </c>
      <c r="K850" s="4">
        <v>1537.0536965859351</v>
      </c>
      <c r="L850" s="4">
        <v>6732590</v>
      </c>
      <c r="M850" s="3">
        <v>31.941536200000002</v>
      </c>
      <c r="N850" s="3">
        <v>24.978933399999999</v>
      </c>
      <c r="O850" s="3">
        <v>59.415354200000003</v>
      </c>
      <c r="P850" s="3">
        <v>41.238681700000001</v>
      </c>
      <c r="Q850" s="3">
        <v>42.536031199999996</v>
      </c>
      <c r="R850" s="3">
        <v>41.262193000000003</v>
      </c>
      <c r="S850" s="2">
        <v>0</v>
      </c>
      <c r="T850" s="2">
        <v>0</v>
      </c>
      <c r="U850" s="2">
        <v>0</v>
      </c>
    </row>
    <row r="851" spans="1:21" x14ac:dyDescent="0.3">
      <c r="A851" s="5" t="s">
        <v>92</v>
      </c>
      <c r="B851" s="5">
        <v>2011</v>
      </c>
      <c r="C851" s="5" t="s">
        <v>93</v>
      </c>
      <c r="D851" s="9">
        <v>659.831188</v>
      </c>
      <c r="E851" s="7">
        <f t="shared" si="13"/>
        <v>580123103.96087122</v>
      </c>
      <c r="F851" s="7">
        <v>17229451.57699104</v>
      </c>
      <c r="G851" s="7">
        <v>57361611.657757103</v>
      </c>
      <c r="H851" s="7"/>
      <c r="I851" s="7">
        <v>74591063.23474814</v>
      </c>
      <c r="J851" s="6">
        <v>5.8232562213528922</v>
      </c>
      <c r="K851" s="7">
        <v>1615.981464369846</v>
      </c>
      <c r="L851" s="7">
        <v>6916474</v>
      </c>
      <c r="M851" s="6">
        <v>30.654860800000002</v>
      </c>
      <c r="N851" s="6">
        <v>25.015037</v>
      </c>
      <c r="O851" s="6">
        <v>59.317784099999997</v>
      </c>
      <c r="P851" s="6">
        <v>38.8907588</v>
      </c>
      <c r="Q851" s="6">
        <v>43.371073899999999</v>
      </c>
      <c r="R851" s="6">
        <v>42.231729399999999</v>
      </c>
      <c r="S851" s="5">
        <v>0</v>
      </c>
      <c r="T851" s="5">
        <v>0</v>
      </c>
      <c r="U851" s="5">
        <v>0</v>
      </c>
    </row>
    <row r="852" spans="1:21" x14ac:dyDescent="0.3">
      <c r="A852" s="2" t="s">
        <v>92</v>
      </c>
      <c r="B852" s="2">
        <v>2012</v>
      </c>
      <c r="C852" s="2" t="s">
        <v>93</v>
      </c>
      <c r="D852" s="8">
        <v>261.07331499999998</v>
      </c>
      <c r="E852" s="4">
        <f t="shared" si="13"/>
        <v>229535470.00138813</v>
      </c>
      <c r="F852" s="4">
        <v>152454676.97476721</v>
      </c>
      <c r="G852" s="4">
        <v>118285340.9053894</v>
      </c>
      <c r="H852" s="4"/>
      <c r="I852" s="4">
        <v>270740017.88015658</v>
      </c>
      <c r="J852" s="3">
        <v>6.3027142686518536</v>
      </c>
      <c r="K852" s="4">
        <v>1645.31290397424</v>
      </c>
      <c r="L852" s="4">
        <v>7100736</v>
      </c>
      <c r="M852" s="3">
        <v>31.278662400000002</v>
      </c>
      <c r="N852" s="3">
        <v>27.505627400000002</v>
      </c>
      <c r="O852" s="3">
        <v>54.772296799999999</v>
      </c>
      <c r="P852" s="3">
        <v>40.9709334</v>
      </c>
      <c r="Q852" s="3">
        <v>41.230898799999999</v>
      </c>
      <c r="R852" s="3">
        <v>39.926735600000001</v>
      </c>
      <c r="S852" s="2">
        <v>0</v>
      </c>
      <c r="T852" s="2">
        <v>0</v>
      </c>
      <c r="U852" s="2">
        <v>0</v>
      </c>
    </row>
    <row r="853" spans="1:21" x14ac:dyDescent="0.3">
      <c r="A853" s="5" t="s">
        <v>92</v>
      </c>
      <c r="B853" s="5">
        <v>2013</v>
      </c>
      <c r="C853" s="5" t="s">
        <v>93</v>
      </c>
      <c r="D853" s="9">
        <v>237.31713199999999</v>
      </c>
      <c r="E853" s="7">
        <f t="shared" si="13"/>
        <v>208649051.0644547</v>
      </c>
      <c r="F853" s="7">
        <v>275189.63463324099</v>
      </c>
      <c r="G853" s="7"/>
      <c r="H853" s="7"/>
      <c r="I853" s="7">
        <v>275189.63463324099</v>
      </c>
      <c r="J853" s="6">
        <v>5.8242506928305886</v>
      </c>
      <c r="K853" s="7">
        <v>1715.3607384866541</v>
      </c>
      <c r="L853" s="7">
        <v>7285442</v>
      </c>
      <c r="M853" s="6">
        <v>30.764582099999998</v>
      </c>
      <c r="N853" s="6">
        <v>26.879751599999999</v>
      </c>
      <c r="O853" s="6">
        <v>57.252335100000003</v>
      </c>
      <c r="P853" s="6">
        <v>38.794877999999997</v>
      </c>
      <c r="Q853" s="6">
        <v>39.976939000000002</v>
      </c>
      <c r="R853" s="6">
        <v>40.937124599999997</v>
      </c>
      <c r="S853" s="5">
        <v>0</v>
      </c>
      <c r="T853" s="5">
        <v>0</v>
      </c>
      <c r="U853" s="5">
        <v>0</v>
      </c>
    </row>
    <row r="854" spans="1:21" x14ac:dyDescent="0.3">
      <c r="A854" s="2" t="s">
        <v>92</v>
      </c>
      <c r="B854" s="2">
        <v>2014</v>
      </c>
      <c r="C854" s="2" t="s">
        <v>93</v>
      </c>
      <c r="D854" s="8">
        <v>250.64882900000001</v>
      </c>
      <c r="E854" s="4">
        <f t="shared" si="13"/>
        <v>220370269.43873054</v>
      </c>
      <c r="F854" s="4">
        <v>220078757.8851476</v>
      </c>
      <c r="G854" s="4">
        <v>0</v>
      </c>
      <c r="H854" s="4"/>
      <c r="I854" s="4">
        <v>220078757.8851476</v>
      </c>
      <c r="J854" s="3">
        <v>5.6332373914522256</v>
      </c>
      <c r="K854" s="4">
        <v>1803.1481102213529</v>
      </c>
      <c r="L854" s="4">
        <v>7472450</v>
      </c>
      <c r="M854" s="3">
        <v>31.8309648</v>
      </c>
      <c r="N854" s="3">
        <v>30.181908100000001</v>
      </c>
      <c r="O854" s="3">
        <v>60.767595200000002</v>
      </c>
      <c r="P854" s="3">
        <v>41.775193899999998</v>
      </c>
      <c r="Q854" s="3">
        <v>41.361646800000003</v>
      </c>
      <c r="R854" s="3">
        <v>41.3803226</v>
      </c>
      <c r="S854" s="2">
        <v>0</v>
      </c>
      <c r="T854" s="2">
        <v>0</v>
      </c>
      <c r="U854" s="2">
        <v>0</v>
      </c>
    </row>
    <row r="855" spans="1:21" x14ac:dyDescent="0.3">
      <c r="A855" s="5" t="s">
        <v>92</v>
      </c>
      <c r="B855" s="5">
        <v>2015</v>
      </c>
      <c r="C855" s="5" t="s">
        <v>93</v>
      </c>
      <c r="D855" s="9">
        <v>273.10515299999997</v>
      </c>
      <c r="E855" s="7">
        <f t="shared" si="13"/>
        <v>240113853.28161943</v>
      </c>
      <c r="F855" s="7">
        <v>91343277.264425144</v>
      </c>
      <c r="G855" s="7"/>
      <c r="H855" s="7"/>
      <c r="I855" s="7">
        <v>91343277.264425144</v>
      </c>
      <c r="J855" s="6">
        <v>5.4680413807303978</v>
      </c>
      <c r="K855" s="7">
        <v>1879.668355172427</v>
      </c>
      <c r="L855" s="7">
        <v>7663195</v>
      </c>
      <c r="M855" s="6">
        <v>35.086465500000003</v>
      </c>
      <c r="N855" s="6">
        <v>30.1761041</v>
      </c>
      <c r="O855" s="6">
        <v>58.871686199999999</v>
      </c>
      <c r="P855" s="6">
        <v>42.2395219</v>
      </c>
      <c r="Q855" s="6">
        <v>42.936130200000001</v>
      </c>
      <c r="R855" s="6">
        <v>42.794913999999999</v>
      </c>
      <c r="S855" s="5">
        <v>0</v>
      </c>
      <c r="T855" s="5">
        <v>0</v>
      </c>
      <c r="U855" s="5">
        <v>0</v>
      </c>
    </row>
    <row r="856" spans="1:21" x14ac:dyDescent="0.3">
      <c r="A856" s="2" t="s">
        <v>92</v>
      </c>
      <c r="B856" s="2">
        <v>2016</v>
      </c>
      <c r="C856" s="2" t="s">
        <v>93</v>
      </c>
      <c r="D856" s="8">
        <v>240.64197200000001</v>
      </c>
      <c r="E856" s="4">
        <f t="shared" si="13"/>
        <v>211572247.99126211</v>
      </c>
      <c r="F856" s="4">
        <v>44453968.293782249</v>
      </c>
      <c r="G856" s="4">
        <v>55243604.823475301</v>
      </c>
      <c r="H856" s="4">
        <v>71682878.231152996</v>
      </c>
      <c r="I856" s="4">
        <v>171380451.34841049</v>
      </c>
      <c r="J856" s="3">
        <v>4.21490387414525</v>
      </c>
      <c r="K856" s="4">
        <v>1932.9261427386859</v>
      </c>
      <c r="L856" s="4">
        <v>7858289</v>
      </c>
      <c r="M856" s="3">
        <v>34.628296300000002</v>
      </c>
      <c r="N856" s="3">
        <v>32.7136809</v>
      </c>
      <c r="O856" s="3">
        <v>61.108145899999997</v>
      </c>
      <c r="P856" s="3">
        <v>42.480102299999999</v>
      </c>
      <c r="Q856" s="3">
        <v>43.206224599999999</v>
      </c>
      <c r="R856" s="3">
        <v>43.671254900000001</v>
      </c>
      <c r="S856" s="2">
        <v>0</v>
      </c>
      <c r="T856" s="2">
        <v>0</v>
      </c>
      <c r="U856" s="2">
        <v>0</v>
      </c>
    </row>
    <row r="857" spans="1:21" x14ac:dyDescent="0.3">
      <c r="A857" s="5" t="s">
        <v>92</v>
      </c>
      <c r="B857" s="5">
        <v>2017</v>
      </c>
      <c r="C857" s="5" t="s">
        <v>93</v>
      </c>
      <c r="D857" s="9">
        <v>447.643351</v>
      </c>
      <c r="E857" s="7">
        <f t="shared" si="13"/>
        <v>393567710.91209131</v>
      </c>
      <c r="F857" s="7">
        <v>23874009.743546519</v>
      </c>
      <c r="G857" s="7"/>
      <c r="H857" s="7"/>
      <c r="I857" s="7">
        <v>23874009.743546519</v>
      </c>
      <c r="J857" s="6">
        <v>4.0079125956693673</v>
      </c>
      <c r="K857" s="7">
        <v>1985.526221294064</v>
      </c>
      <c r="L857" s="7">
        <v>8057140</v>
      </c>
      <c r="M857" s="6">
        <v>33.066024300000002</v>
      </c>
      <c r="N857" s="6">
        <v>32.221482799999997</v>
      </c>
      <c r="O857" s="6">
        <v>51.616252499999987</v>
      </c>
      <c r="P857" s="6">
        <v>42.603079899999997</v>
      </c>
      <c r="Q857" s="6">
        <v>43.0745231</v>
      </c>
      <c r="R857" s="6">
        <v>43.706611700000003</v>
      </c>
      <c r="S857" s="5">
        <v>0</v>
      </c>
      <c r="T857" s="5">
        <v>0</v>
      </c>
      <c r="U857" s="5">
        <v>0</v>
      </c>
    </row>
    <row r="858" spans="1:21" x14ac:dyDescent="0.3">
      <c r="A858" s="2" t="s">
        <v>92</v>
      </c>
      <c r="B858" s="2">
        <v>2018</v>
      </c>
      <c r="C858" s="2" t="s">
        <v>93</v>
      </c>
      <c r="D858" s="8">
        <v>410.71899400000001</v>
      </c>
      <c r="E858" s="4">
        <f t="shared" si="13"/>
        <v>361103842.90438616</v>
      </c>
      <c r="F858" s="4">
        <v>666814.67388653895</v>
      </c>
      <c r="G858" s="4"/>
      <c r="H858" s="4"/>
      <c r="I858" s="4">
        <v>666814.67388653895</v>
      </c>
      <c r="J858" s="3">
        <v>4.7951833308613914</v>
      </c>
      <c r="K858" s="4">
        <v>2067.066429596603</v>
      </c>
      <c r="L858" s="4">
        <v>8258778</v>
      </c>
      <c r="M858" s="3">
        <v>32.5733271</v>
      </c>
      <c r="N858" s="3">
        <v>33.052911000000002</v>
      </c>
      <c r="O858" s="3">
        <v>50.9850122</v>
      </c>
      <c r="P858" s="3">
        <v>44.095797599999997</v>
      </c>
      <c r="Q858" s="3">
        <v>45.006469299999999</v>
      </c>
      <c r="R858" s="3">
        <v>43.372289599999988</v>
      </c>
      <c r="S858" s="2">
        <v>0</v>
      </c>
      <c r="T858" s="2">
        <v>0</v>
      </c>
      <c r="U858" s="2">
        <v>0</v>
      </c>
    </row>
    <row r="859" spans="1:21" x14ac:dyDescent="0.3">
      <c r="A859" s="5" t="s">
        <v>92</v>
      </c>
      <c r="B859" s="5">
        <v>2019</v>
      </c>
      <c r="C859" s="5" t="s">
        <v>93</v>
      </c>
      <c r="D859" s="9">
        <v>471.49816900000002</v>
      </c>
      <c r="E859" s="7">
        <f t="shared" ref="E859:E920" si="14">(D859*0.879199277802054)*1000000</f>
        <v>414540849.6697908</v>
      </c>
      <c r="F859" s="7">
        <v>1961404.400780967</v>
      </c>
      <c r="G859" s="7"/>
      <c r="H859" s="7">
        <v>0</v>
      </c>
      <c r="I859" s="7">
        <v>1961404.400780967</v>
      </c>
      <c r="J859" s="6">
        <v>4.9228332136069346</v>
      </c>
      <c r="K859" s="7">
        <v>2214.6991555067698</v>
      </c>
      <c r="L859" s="7">
        <v>8463068</v>
      </c>
      <c r="M859" s="6">
        <v>33.550736200000003</v>
      </c>
      <c r="N859" s="6">
        <v>35.162966400000002</v>
      </c>
      <c r="O859" s="6">
        <v>51.367120800000002</v>
      </c>
      <c r="P859" s="6">
        <v>45.0661579</v>
      </c>
      <c r="Q859" s="6">
        <v>44.866289899999998</v>
      </c>
      <c r="R859" s="6">
        <v>44.065699700000003</v>
      </c>
      <c r="S859" s="5">
        <v>0</v>
      </c>
      <c r="T859" s="5">
        <v>0</v>
      </c>
      <c r="U859" s="5">
        <v>0</v>
      </c>
    </row>
    <row r="860" spans="1:21" x14ac:dyDescent="0.3">
      <c r="A860" s="2" t="s">
        <v>92</v>
      </c>
      <c r="B860" s="2">
        <v>2020</v>
      </c>
      <c r="C860" s="2" t="s">
        <v>93</v>
      </c>
      <c r="D860" s="8">
        <v>648.18926399999998</v>
      </c>
      <c r="E860" s="4">
        <f t="shared" si="14"/>
        <v>569887532.7878449</v>
      </c>
      <c r="F860" s="4">
        <v>36855.62107878409</v>
      </c>
      <c r="G860" s="4"/>
      <c r="H860" s="4">
        <v>0</v>
      </c>
      <c r="I860" s="4">
        <v>36855.62107878409</v>
      </c>
      <c r="J860" s="3">
        <v>2.162286574243637</v>
      </c>
      <c r="K860" s="4">
        <v>2384.0664545182672</v>
      </c>
      <c r="L860" s="4">
        <v>8669720</v>
      </c>
      <c r="M860" s="3">
        <v>34.802966599999998</v>
      </c>
      <c r="N860" s="3">
        <v>34.173349299999998</v>
      </c>
      <c r="O860" s="3">
        <v>52.100896800000001</v>
      </c>
      <c r="P860" s="3">
        <v>47.134974</v>
      </c>
      <c r="Q860" s="3">
        <v>46.361679700000003</v>
      </c>
      <c r="R860" s="3">
        <v>44.000453899999997</v>
      </c>
      <c r="S860" s="2">
        <v>0</v>
      </c>
      <c r="T860" s="2">
        <v>0</v>
      </c>
      <c r="U860" s="2">
        <v>0</v>
      </c>
    </row>
    <row r="861" spans="1:21" x14ac:dyDescent="0.3">
      <c r="A861" s="5" t="s">
        <v>92</v>
      </c>
      <c r="B861" s="5">
        <v>2021</v>
      </c>
      <c r="C861" s="5" t="s">
        <v>93</v>
      </c>
      <c r="D861" s="9">
        <v>377.02970699999997</v>
      </c>
      <c r="E861" s="7">
        <f t="shared" si="14"/>
        <v>331484246.10431999</v>
      </c>
      <c r="F861" s="7">
        <v>32472000</v>
      </c>
      <c r="G861" s="7"/>
      <c r="H861" s="7">
        <v>0</v>
      </c>
      <c r="I861" s="7">
        <v>32472000</v>
      </c>
      <c r="J861" s="6">
        <v>5.1289011370173228</v>
      </c>
      <c r="K861" s="7">
        <v>2638.810952679632</v>
      </c>
      <c r="L861" s="7">
        <v>8878379</v>
      </c>
      <c r="M861" s="6">
        <v>34.657816599999997</v>
      </c>
      <c r="N861" s="6">
        <v>34.287827999999998</v>
      </c>
      <c r="O861" s="6">
        <v>54.479905899999999</v>
      </c>
      <c r="P861" s="6">
        <v>47.265264799999997</v>
      </c>
      <c r="Q861" s="6">
        <v>46.073775599999998</v>
      </c>
      <c r="R861" s="6">
        <v>41.262333099999999</v>
      </c>
      <c r="S861" s="5">
        <v>0</v>
      </c>
      <c r="T861" s="5">
        <v>0</v>
      </c>
      <c r="U861" s="5">
        <v>0</v>
      </c>
    </row>
    <row r="862" spans="1:21" x14ac:dyDescent="0.3">
      <c r="A862" s="5" t="s">
        <v>94</v>
      </c>
      <c r="B862" s="5">
        <v>2002</v>
      </c>
      <c r="C862" s="5" t="s">
        <v>95</v>
      </c>
      <c r="D862" s="9">
        <v>1145.447357</v>
      </c>
      <c r="E862" s="7">
        <f t="shared" si="14"/>
        <v>1007076489.0346714</v>
      </c>
      <c r="F862" s="7">
        <v>20057619.01481035</v>
      </c>
      <c r="G862" s="7"/>
      <c r="H862" s="7"/>
      <c r="I862" s="7">
        <v>20057619.01481035</v>
      </c>
      <c r="J862" s="6">
        <v>8.7326857644012676</v>
      </c>
      <c r="K862" s="7">
        <v>1254.982035066985</v>
      </c>
      <c r="L862" s="7">
        <v>25532870</v>
      </c>
      <c r="M862" s="6">
        <v>24.632190600000001</v>
      </c>
      <c r="N862" s="6">
        <v>42.116241299999999</v>
      </c>
      <c r="O862" s="6">
        <v>37.848846399999999</v>
      </c>
      <c r="P862" s="6">
        <v>51.2214484</v>
      </c>
      <c r="Q862" s="6">
        <v>43.972042399999999</v>
      </c>
      <c r="R862" s="6">
        <v>36.846243299999998</v>
      </c>
      <c r="S862" s="5">
        <v>1</v>
      </c>
      <c r="T862" s="5">
        <v>2</v>
      </c>
      <c r="U862" s="5">
        <v>1</v>
      </c>
    </row>
    <row r="863" spans="1:21" x14ac:dyDescent="0.3">
      <c r="A863" s="2" t="s">
        <v>94</v>
      </c>
      <c r="B863" s="2">
        <v>2003</v>
      </c>
      <c r="C863" s="2" t="s">
        <v>95</v>
      </c>
      <c r="D863" s="8">
        <v>1389.2217680000001</v>
      </c>
      <c r="E863" s="4">
        <f t="shared" si="14"/>
        <v>1221402775.1324928</v>
      </c>
      <c r="F863" s="4">
        <v>633376.57249841921</v>
      </c>
      <c r="G863" s="4"/>
      <c r="H863" s="4"/>
      <c r="I863" s="4">
        <v>633376.57249841921</v>
      </c>
      <c r="J863" s="3">
        <v>6.4732586716654339</v>
      </c>
      <c r="K863" s="4">
        <v>1320.2399163098839</v>
      </c>
      <c r="L863" s="4">
        <v>26352124</v>
      </c>
      <c r="M863" s="3">
        <v>25.830576499999999</v>
      </c>
      <c r="N863" s="3">
        <v>38.633047300000001</v>
      </c>
      <c r="O863" s="3">
        <v>36.907216400000003</v>
      </c>
      <c r="P863" s="3">
        <v>50.9473743</v>
      </c>
      <c r="Q863" s="3">
        <v>44.786007099999999</v>
      </c>
      <c r="R863" s="3">
        <v>41.373886900000002</v>
      </c>
      <c r="S863" s="2">
        <v>1</v>
      </c>
      <c r="T863" s="2">
        <v>1</v>
      </c>
      <c r="U863" s="2">
        <v>0</v>
      </c>
    </row>
    <row r="864" spans="1:21" x14ac:dyDescent="0.3">
      <c r="A864" s="5" t="s">
        <v>94</v>
      </c>
      <c r="B864" s="5">
        <v>2004</v>
      </c>
      <c r="C864" s="5" t="s">
        <v>95</v>
      </c>
      <c r="D864" s="9">
        <v>1611.336812</v>
      </c>
      <c r="E864" s="7">
        <f t="shared" si="14"/>
        <v>1416686161.4062641</v>
      </c>
      <c r="F864" s="7">
        <v>0</v>
      </c>
      <c r="G864" s="7"/>
      <c r="H864" s="7">
        <v>11388260.6094331</v>
      </c>
      <c r="I864" s="7">
        <v>11388260.6094331</v>
      </c>
      <c r="J864" s="6">
        <v>6.807233343618833</v>
      </c>
      <c r="K864" s="7">
        <v>1405.2428843889629</v>
      </c>
      <c r="L864" s="7">
        <v>27154515</v>
      </c>
      <c r="M864" s="6">
        <v>31.0101382</v>
      </c>
      <c r="N864" s="6">
        <v>40.693761500000001</v>
      </c>
      <c r="O864" s="6">
        <v>46.135364799999998</v>
      </c>
      <c r="P864" s="6">
        <v>52.0569694</v>
      </c>
      <c r="Q864" s="6">
        <v>44.728702299999988</v>
      </c>
      <c r="R864" s="6">
        <v>43.160411500000002</v>
      </c>
      <c r="S864" s="5">
        <v>1</v>
      </c>
      <c r="T864" s="5">
        <v>2</v>
      </c>
      <c r="U864" s="5">
        <v>1</v>
      </c>
    </row>
    <row r="865" spans="1:21" x14ac:dyDescent="0.3">
      <c r="A865" s="2" t="s">
        <v>94</v>
      </c>
      <c r="B865" s="2">
        <v>2005</v>
      </c>
      <c r="C865" s="2" t="s">
        <v>95</v>
      </c>
      <c r="D865" s="8">
        <v>1607.700887</v>
      </c>
      <c r="E865" s="4">
        <f t="shared" si="14"/>
        <v>1413489458.7721214</v>
      </c>
      <c r="F865" s="4">
        <v>2785741.1429895819</v>
      </c>
      <c r="G865" s="4"/>
      <c r="H865" s="4"/>
      <c r="I865" s="4">
        <v>2785741.1429895819</v>
      </c>
      <c r="J865" s="3">
        <v>6.3325651162315637</v>
      </c>
      <c r="K865" s="4">
        <v>1496.509478360658</v>
      </c>
      <c r="L865" s="4">
        <v>27963289</v>
      </c>
      <c r="M865" s="3">
        <v>29.695108399999999</v>
      </c>
      <c r="N865" s="3">
        <v>39.466054399999997</v>
      </c>
      <c r="O865" s="3">
        <v>43.575283800000001</v>
      </c>
      <c r="P865" s="3">
        <v>51.855297099999987</v>
      </c>
      <c r="Q865" s="3">
        <v>47.769819899999987</v>
      </c>
      <c r="R865" s="3">
        <v>45.669094000000001</v>
      </c>
      <c r="S865" s="2">
        <v>1</v>
      </c>
      <c r="T865" s="2">
        <v>1</v>
      </c>
      <c r="U865" s="2">
        <v>0</v>
      </c>
    </row>
    <row r="866" spans="1:21" x14ac:dyDescent="0.3">
      <c r="A866" s="5" t="s">
        <v>94</v>
      </c>
      <c r="B866" s="5">
        <v>2006</v>
      </c>
      <c r="C866" s="5" t="s">
        <v>95</v>
      </c>
      <c r="D866" s="9">
        <v>6330.5156909999996</v>
      </c>
      <c r="E866" s="7">
        <f t="shared" si="14"/>
        <v>5565784823.6417704</v>
      </c>
      <c r="F866" s="7">
        <v>43388113.438777253</v>
      </c>
      <c r="G866" s="7"/>
      <c r="H866" s="7"/>
      <c r="I866" s="7">
        <v>43388113.438777253</v>
      </c>
      <c r="J866" s="6">
        <v>10.78474438574534</v>
      </c>
      <c r="K866" s="7">
        <v>1659.72529096776</v>
      </c>
      <c r="L866" s="7">
        <v>28794003</v>
      </c>
      <c r="M866" s="6">
        <v>34.825671499999999</v>
      </c>
      <c r="N866" s="6">
        <v>41.368014000000002</v>
      </c>
      <c r="O866" s="6">
        <v>48.9583674</v>
      </c>
      <c r="P866" s="6">
        <v>49.244929800000001</v>
      </c>
      <c r="Q866" s="6">
        <v>52.384198699999999</v>
      </c>
      <c r="R866" s="6">
        <v>49.671976200000003</v>
      </c>
      <c r="S866" s="5">
        <v>1</v>
      </c>
      <c r="T866" s="5">
        <v>1</v>
      </c>
      <c r="U866" s="5">
        <v>0</v>
      </c>
    </row>
    <row r="867" spans="1:21" x14ac:dyDescent="0.3">
      <c r="A867" s="2" t="s">
        <v>94</v>
      </c>
      <c r="B867" s="2">
        <v>2007</v>
      </c>
      <c r="C867" s="2" t="s">
        <v>95</v>
      </c>
      <c r="D867" s="8">
        <v>1883.779528</v>
      </c>
      <c r="E867" s="4">
        <f t="shared" si="14"/>
        <v>1656217600.5558941</v>
      </c>
      <c r="F867" s="4">
        <v>173587187.73128051</v>
      </c>
      <c r="G867" s="4"/>
      <c r="H867" s="4"/>
      <c r="I867" s="4">
        <v>173587187.73128051</v>
      </c>
      <c r="J867" s="3">
        <v>8.4124259655107068</v>
      </c>
      <c r="K867" s="4">
        <v>1794.535188814833</v>
      </c>
      <c r="L867" s="4">
        <v>29653430</v>
      </c>
      <c r="M867" s="3">
        <v>33.359042799999997</v>
      </c>
      <c r="N867" s="3">
        <v>42.587770399999997</v>
      </c>
      <c r="O867" s="3">
        <v>53.448371999999999</v>
      </c>
      <c r="P867" s="3">
        <v>49.773132099999998</v>
      </c>
      <c r="Q867" s="3">
        <v>51.700413999999988</v>
      </c>
      <c r="R867" s="3">
        <v>48.687877800000003</v>
      </c>
      <c r="S867" s="2">
        <v>1</v>
      </c>
      <c r="T867" s="2">
        <v>1</v>
      </c>
      <c r="U867" s="2">
        <v>0</v>
      </c>
    </row>
    <row r="868" spans="1:21" x14ac:dyDescent="0.3">
      <c r="A868" s="5" t="s">
        <v>94</v>
      </c>
      <c r="B868" s="5">
        <v>2008</v>
      </c>
      <c r="C868" s="5" t="s">
        <v>95</v>
      </c>
      <c r="D868" s="9">
        <v>1799.355</v>
      </c>
      <c r="E868" s="7">
        <f t="shared" si="14"/>
        <v>1581991616.5095148</v>
      </c>
      <c r="F868" s="7">
        <v>23729510.33978885</v>
      </c>
      <c r="G868" s="7"/>
      <c r="H868" s="7"/>
      <c r="I868" s="7">
        <v>23729510.33978885</v>
      </c>
      <c r="J868" s="6">
        <v>8.7087519015449857</v>
      </c>
      <c r="K868" s="7">
        <v>1930.7086951781571</v>
      </c>
      <c r="L868" s="7">
        <v>30539553</v>
      </c>
      <c r="M868" s="6">
        <v>33.537990100000002</v>
      </c>
      <c r="N868" s="6">
        <v>40.940360299999988</v>
      </c>
      <c r="O868" s="6">
        <v>54.620892299999987</v>
      </c>
      <c r="P868" s="6">
        <v>50.274267399999999</v>
      </c>
      <c r="Q868" s="6">
        <v>52.504066100000003</v>
      </c>
      <c r="R868" s="6">
        <v>47.861203699999997</v>
      </c>
      <c r="S868" s="5">
        <v>1</v>
      </c>
      <c r="T868" s="5">
        <v>1</v>
      </c>
      <c r="U868" s="5">
        <v>0</v>
      </c>
    </row>
    <row r="869" spans="1:21" x14ac:dyDescent="0.3">
      <c r="A869" s="2" t="s">
        <v>94</v>
      </c>
      <c r="B869" s="2">
        <v>2009</v>
      </c>
      <c r="C869" s="2" t="s">
        <v>95</v>
      </c>
      <c r="D869" s="8">
        <v>2034.6248900000001</v>
      </c>
      <c r="E869" s="4">
        <f t="shared" si="14"/>
        <v>1788840733.8860836</v>
      </c>
      <c r="F869" s="4">
        <v>109889421.4107849</v>
      </c>
      <c r="G869" s="4">
        <v>0</v>
      </c>
      <c r="H869" s="4"/>
      <c r="I869" s="4">
        <v>109889421.4107849</v>
      </c>
      <c r="J869" s="3">
        <v>6.8015173486039524</v>
      </c>
      <c r="K869" s="4">
        <v>2014.608794420983</v>
      </c>
      <c r="L869" s="4">
        <v>31451151</v>
      </c>
      <c r="M869" s="3">
        <v>32.4847988</v>
      </c>
      <c r="N869" s="3">
        <v>41.906084399999997</v>
      </c>
      <c r="O869" s="3">
        <v>54.184875899999987</v>
      </c>
      <c r="P869" s="3">
        <v>49.756187199999999</v>
      </c>
      <c r="Q869" s="3">
        <v>51.242884699999998</v>
      </c>
      <c r="R869" s="3">
        <v>47.691135499999987</v>
      </c>
      <c r="S869" s="2">
        <v>1</v>
      </c>
      <c r="T869" s="2">
        <v>1</v>
      </c>
      <c r="U869" s="2">
        <v>0</v>
      </c>
    </row>
    <row r="870" spans="1:21" x14ac:dyDescent="0.3">
      <c r="A870" s="5" t="s">
        <v>94</v>
      </c>
      <c r="B870" s="5">
        <v>2010</v>
      </c>
      <c r="C870" s="5" t="s">
        <v>95</v>
      </c>
      <c r="D870" s="9">
        <v>1933.47867</v>
      </c>
      <c r="E870" s="7">
        <f t="shared" si="14"/>
        <v>1699913050.3096757</v>
      </c>
      <c r="F870" s="7">
        <v>5095616.9541408913</v>
      </c>
      <c r="G870" s="7"/>
      <c r="H870" s="7"/>
      <c r="I870" s="7">
        <v>5095616.9541408913</v>
      </c>
      <c r="J870" s="6">
        <v>5.6376116374975709</v>
      </c>
      <c r="K870" s="7">
        <v>2091.5596314533109</v>
      </c>
      <c r="L870" s="7">
        <v>32390802</v>
      </c>
      <c r="M870" s="6">
        <v>32.460990700000004</v>
      </c>
      <c r="N870" s="6">
        <v>42.627659800000004</v>
      </c>
      <c r="O870" s="6">
        <v>53.063250199999999</v>
      </c>
      <c r="P870" s="6">
        <v>50.302663799999998</v>
      </c>
      <c r="Q870" s="6">
        <v>50.943998499999999</v>
      </c>
      <c r="R870" s="6">
        <v>46.858470399999987</v>
      </c>
      <c r="S870" s="5">
        <v>1</v>
      </c>
      <c r="T870" s="5">
        <v>1</v>
      </c>
      <c r="U870" s="5">
        <v>0</v>
      </c>
    </row>
    <row r="871" spans="1:21" x14ac:dyDescent="0.3">
      <c r="A871" s="2" t="s">
        <v>94</v>
      </c>
      <c r="B871" s="2">
        <v>2011</v>
      </c>
      <c r="C871" s="2" t="s">
        <v>95</v>
      </c>
      <c r="D871" s="8">
        <v>1757.127657</v>
      </c>
      <c r="E871" s="4">
        <f t="shared" si="14"/>
        <v>1544865367.0404153</v>
      </c>
      <c r="F871" s="4">
        <v>127467282.91225401</v>
      </c>
      <c r="G871" s="4">
        <v>430458063.46944702</v>
      </c>
      <c r="H871" s="4">
        <v>129075770.066864</v>
      </c>
      <c r="I871" s="4">
        <v>687001116.44856501</v>
      </c>
      <c r="J871" s="3">
        <v>9.3916554927176037</v>
      </c>
      <c r="K871" s="4">
        <v>2267.7227035709352</v>
      </c>
      <c r="L871" s="4">
        <v>33354543</v>
      </c>
      <c r="M871" s="3">
        <v>31.7845935</v>
      </c>
      <c r="N871" s="3">
        <v>42.0579617</v>
      </c>
      <c r="O871" s="3">
        <v>50.914470299999998</v>
      </c>
      <c r="P871" s="3">
        <v>49.548963399999998</v>
      </c>
      <c r="Q871" s="3">
        <v>49.003049399999988</v>
      </c>
      <c r="R871" s="3">
        <v>45.793338899999988</v>
      </c>
      <c r="S871" s="2">
        <v>1</v>
      </c>
      <c r="T871" s="2">
        <v>1</v>
      </c>
      <c r="U871" s="2">
        <v>0</v>
      </c>
    </row>
    <row r="872" spans="1:21" x14ac:dyDescent="0.3">
      <c r="A872" s="5" t="s">
        <v>94</v>
      </c>
      <c r="B872" s="5">
        <v>2012</v>
      </c>
      <c r="C872" s="5" t="s">
        <v>95</v>
      </c>
      <c r="D872" s="9">
        <v>1861.9923329999999</v>
      </c>
      <c r="E872" s="7">
        <f t="shared" si="14"/>
        <v>1637062314.4465616</v>
      </c>
      <c r="F872" s="7">
        <v>1852745.910934817</v>
      </c>
      <c r="G872" s="7">
        <v>105671.12021332599</v>
      </c>
      <c r="H872" s="7"/>
      <c r="I872" s="7">
        <v>1958417.0311481431</v>
      </c>
      <c r="J872" s="6">
        <v>3.8374556060522882</v>
      </c>
      <c r="K872" s="7">
        <v>2031.9466953881449</v>
      </c>
      <c r="L872" s="7">
        <v>34337438</v>
      </c>
      <c r="M872" s="6">
        <v>30.5132288</v>
      </c>
      <c r="N872" s="6">
        <v>41.377102099999988</v>
      </c>
      <c r="O872" s="6">
        <v>51.1971025</v>
      </c>
      <c r="P872" s="6">
        <v>48.171675200000003</v>
      </c>
      <c r="Q872" s="6">
        <v>48.364589100000003</v>
      </c>
      <c r="R872" s="6">
        <v>45.831074299999997</v>
      </c>
      <c r="S872" s="5">
        <v>0</v>
      </c>
      <c r="T872" s="5">
        <v>0</v>
      </c>
      <c r="U872" s="5">
        <v>0</v>
      </c>
    </row>
    <row r="873" spans="1:21" x14ac:dyDescent="0.3">
      <c r="A873" s="2" t="s">
        <v>94</v>
      </c>
      <c r="B873" s="2">
        <v>2013</v>
      </c>
      <c r="C873" s="2" t="s">
        <v>95</v>
      </c>
      <c r="D873" s="8">
        <v>2018.4739039999999</v>
      </c>
      <c r="E873" s="4">
        <f t="shared" si="14"/>
        <v>1774640798.6590922</v>
      </c>
      <c r="F873" s="4">
        <v>0</v>
      </c>
      <c r="G873" s="4">
        <v>0</v>
      </c>
      <c r="H873" s="4"/>
      <c r="I873" s="4">
        <v>0</v>
      </c>
      <c r="J873" s="3">
        <v>3.5869058262302498</v>
      </c>
      <c r="K873" s="4">
        <v>2044.881824858451</v>
      </c>
      <c r="L873" s="4">
        <v>35337042</v>
      </c>
      <c r="M873" s="3">
        <v>28.943598999999999</v>
      </c>
      <c r="N873" s="3">
        <v>42.063419600000003</v>
      </c>
      <c r="O873" s="3">
        <v>50.647582300000003</v>
      </c>
      <c r="P873" s="3">
        <v>47.944853799999997</v>
      </c>
      <c r="Q873" s="3">
        <v>47.3705195</v>
      </c>
      <c r="R873" s="3">
        <v>44.818290999999988</v>
      </c>
      <c r="S873" s="2">
        <v>1</v>
      </c>
      <c r="T873" s="2">
        <v>1</v>
      </c>
      <c r="U873" s="2">
        <v>0</v>
      </c>
    </row>
    <row r="874" spans="1:21" x14ac:dyDescent="0.3">
      <c r="A874" s="5" t="s">
        <v>94</v>
      </c>
      <c r="B874" s="5">
        <v>2014</v>
      </c>
      <c r="C874" s="5" t="s">
        <v>95</v>
      </c>
      <c r="D874" s="9">
        <v>1898.473045</v>
      </c>
      <c r="E874" s="7">
        <f t="shared" si="14"/>
        <v>1669136130.0906663</v>
      </c>
      <c r="F874" s="7">
        <v>885676.18512678996</v>
      </c>
      <c r="G874" s="7">
        <v>1408131557.5257151</v>
      </c>
      <c r="H874" s="7"/>
      <c r="I874" s="7">
        <v>1409017233.7108419</v>
      </c>
      <c r="J874" s="6">
        <v>5.1063073253979638</v>
      </c>
      <c r="K874" s="7">
        <v>2134.009162817415</v>
      </c>
      <c r="L874" s="7">
        <v>36395539</v>
      </c>
      <c r="M874" s="6">
        <v>27.8465867</v>
      </c>
      <c r="N874" s="6">
        <v>45.364069200000003</v>
      </c>
      <c r="O874" s="6">
        <v>49.2155463</v>
      </c>
      <c r="P874" s="6">
        <v>48.430490499999998</v>
      </c>
      <c r="Q874" s="6">
        <v>46.925760500000003</v>
      </c>
      <c r="R874" s="6">
        <v>45.356919599999998</v>
      </c>
      <c r="S874" s="5">
        <v>1</v>
      </c>
      <c r="T874" s="5">
        <v>1</v>
      </c>
      <c r="U874" s="5">
        <v>0</v>
      </c>
    </row>
    <row r="875" spans="1:21" x14ac:dyDescent="0.3">
      <c r="A875" s="2" t="s">
        <v>94</v>
      </c>
      <c r="B875" s="2">
        <v>2015</v>
      </c>
      <c r="C875" s="2" t="s">
        <v>95</v>
      </c>
      <c r="D875" s="8">
        <v>2029.066407</v>
      </c>
      <c r="E875" s="4">
        <f t="shared" si="14"/>
        <v>1783953719.6468086</v>
      </c>
      <c r="F875" s="4">
        <v>274163801.89787912</v>
      </c>
      <c r="G875" s="4">
        <v>736012343.21766746</v>
      </c>
      <c r="H875" s="4">
        <v>269346136.69894803</v>
      </c>
      <c r="I875" s="4">
        <v>1279522281.8144951</v>
      </c>
      <c r="J875" s="3">
        <v>5.187859860024659</v>
      </c>
      <c r="K875" s="4">
        <v>2189.9648591900318</v>
      </c>
      <c r="L875" s="4">
        <v>37531446</v>
      </c>
      <c r="M875" s="3">
        <v>27.351049700000001</v>
      </c>
      <c r="N875" s="3">
        <v>45.411707100000001</v>
      </c>
      <c r="O875" s="3">
        <v>52.3754767</v>
      </c>
      <c r="P875" s="3">
        <v>48.813245500000001</v>
      </c>
      <c r="Q875" s="3">
        <v>46.462928499999997</v>
      </c>
      <c r="R875" s="3">
        <v>45.192070700000002</v>
      </c>
      <c r="S875" s="2">
        <v>1</v>
      </c>
      <c r="T875" s="2">
        <v>1</v>
      </c>
      <c r="U875" s="2">
        <v>0</v>
      </c>
    </row>
    <row r="876" spans="1:21" x14ac:dyDescent="0.3">
      <c r="A876" s="5" t="s">
        <v>94</v>
      </c>
      <c r="B876" s="5">
        <v>2016</v>
      </c>
      <c r="C876" s="5" t="s">
        <v>95</v>
      </c>
      <c r="D876" s="9">
        <v>2191.196895</v>
      </c>
      <c r="E876" s="7">
        <f t="shared" si="14"/>
        <v>1926498727.6061032</v>
      </c>
      <c r="F876" s="7">
        <v>44607858.966475017</v>
      </c>
      <c r="G876" s="7">
        <v>100344179.705483</v>
      </c>
      <c r="H876" s="7"/>
      <c r="I876" s="7">
        <v>144952038.671958</v>
      </c>
      <c r="J876" s="6">
        <v>4.7810002925448174</v>
      </c>
      <c r="K876" s="7">
        <v>2165.2975940441302</v>
      </c>
      <c r="L876" s="7">
        <v>38799152</v>
      </c>
      <c r="M876" s="6">
        <v>27.720652000000001</v>
      </c>
      <c r="N876" s="6">
        <v>43.980411400000001</v>
      </c>
      <c r="O876" s="6">
        <v>51.981868800000001</v>
      </c>
      <c r="P876" s="6">
        <v>48.648790599999998</v>
      </c>
      <c r="Q876" s="6">
        <v>45.958300399999999</v>
      </c>
      <c r="R876" s="6">
        <v>42.098033200000003</v>
      </c>
      <c r="S876" s="5">
        <v>1</v>
      </c>
      <c r="T876" s="5">
        <v>1</v>
      </c>
      <c r="U876" s="5">
        <v>0</v>
      </c>
    </row>
    <row r="877" spans="1:21" x14ac:dyDescent="0.3">
      <c r="A877" s="2" t="s">
        <v>94</v>
      </c>
      <c r="B877" s="2">
        <v>2017</v>
      </c>
      <c r="C877" s="2" t="s">
        <v>95</v>
      </c>
      <c r="D877" s="8">
        <v>2464.2488819999999</v>
      </c>
      <c r="E877" s="4">
        <f t="shared" si="14"/>
        <v>2166565837.3789186</v>
      </c>
      <c r="F877" s="4">
        <v>39896139.387653388</v>
      </c>
      <c r="G877" s="4"/>
      <c r="H877" s="4"/>
      <c r="I877" s="4">
        <v>39896139.387653388</v>
      </c>
      <c r="J877" s="3">
        <v>3.1314055172359621</v>
      </c>
      <c r="K877" s="4">
        <v>2157.9574750336942</v>
      </c>
      <c r="L877" s="4">
        <v>40177388</v>
      </c>
      <c r="M877" s="3">
        <v>27.2725692</v>
      </c>
      <c r="N877" s="3">
        <v>44.252586800000003</v>
      </c>
      <c r="O877" s="3">
        <v>54.184664099999999</v>
      </c>
      <c r="P877" s="3">
        <v>48.957524100000001</v>
      </c>
      <c r="Q877" s="3">
        <v>45.653280299999999</v>
      </c>
      <c r="R877" s="3">
        <v>42.506746</v>
      </c>
      <c r="S877" s="2">
        <v>1</v>
      </c>
      <c r="T877" s="2">
        <v>1</v>
      </c>
      <c r="U877" s="2">
        <v>0</v>
      </c>
    </row>
    <row r="878" spans="1:21" x14ac:dyDescent="0.3">
      <c r="A878" s="5" t="s">
        <v>94</v>
      </c>
      <c r="B878" s="5">
        <v>2018</v>
      </c>
      <c r="C878" s="5" t="s">
        <v>95</v>
      </c>
      <c r="D878" s="9">
        <v>2331.853748</v>
      </c>
      <c r="E878" s="7">
        <f t="shared" si="14"/>
        <v>2050164131.181613</v>
      </c>
      <c r="F878" s="7">
        <v>56314737.207798079</v>
      </c>
      <c r="G878" s="7"/>
      <c r="H878" s="7"/>
      <c r="I878" s="7">
        <v>56314737.207798079</v>
      </c>
      <c r="J878" s="6">
        <v>6.3039237826299646</v>
      </c>
      <c r="K878" s="7">
        <v>2312.0575281349502</v>
      </c>
      <c r="L878" s="7">
        <v>41565831</v>
      </c>
      <c r="M878" s="6">
        <v>27.013574699999999</v>
      </c>
      <c r="N878" s="6">
        <v>41.689009499999997</v>
      </c>
      <c r="O878" s="6">
        <v>53.261248199999997</v>
      </c>
      <c r="P878" s="6">
        <v>48.536939699999998</v>
      </c>
      <c r="Q878" s="6">
        <v>45.0276402</v>
      </c>
      <c r="R878" s="6">
        <v>41.857401899999999</v>
      </c>
      <c r="S878" s="5">
        <v>0</v>
      </c>
      <c r="T878" s="5">
        <v>0</v>
      </c>
      <c r="U878" s="5">
        <v>0</v>
      </c>
    </row>
    <row r="879" spans="1:21" x14ac:dyDescent="0.3">
      <c r="A879" s="2" t="s">
        <v>94</v>
      </c>
      <c r="B879" s="2">
        <v>2019</v>
      </c>
      <c r="C879" s="2" t="s">
        <v>95</v>
      </c>
      <c r="D879" s="8">
        <v>2472.691628</v>
      </c>
      <c r="E879" s="4">
        <f t="shared" si="14"/>
        <v>2173988693.564785</v>
      </c>
      <c r="F879" s="4">
        <v>250726801.86942151</v>
      </c>
      <c r="G879" s="4">
        <v>95207026.899193898</v>
      </c>
      <c r="H879" s="4"/>
      <c r="I879" s="4">
        <v>345933828.76861542</v>
      </c>
      <c r="J879" s="3">
        <v>6.4387450327643876</v>
      </c>
      <c r="K879" s="4">
        <v>2441.3744523382111</v>
      </c>
      <c r="L879" s="4">
        <v>42999637</v>
      </c>
      <c r="M879" s="3">
        <v>25.538958699999998</v>
      </c>
      <c r="N879" s="3">
        <v>41.288567700000002</v>
      </c>
      <c r="O879" s="3">
        <v>52.662167399999987</v>
      </c>
      <c r="P879" s="3">
        <v>47.362167599999999</v>
      </c>
      <c r="Q879" s="3">
        <v>44.430740299999997</v>
      </c>
      <c r="R879" s="3">
        <v>41.500463199999999</v>
      </c>
      <c r="S879" s="2">
        <v>0</v>
      </c>
      <c r="T879" s="2">
        <v>0</v>
      </c>
      <c r="U879" s="2">
        <v>0</v>
      </c>
    </row>
    <row r="880" spans="1:21" x14ac:dyDescent="0.3">
      <c r="A880" s="5" t="s">
        <v>94</v>
      </c>
      <c r="B880" s="5">
        <v>2020</v>
      </c>
      <c r="C880" s="5" t="s">
        <v>95</v>
      </c>
      <c r="D880" s="9">
        <v>3601.5273820000002</v>
      </c>
      <c r="E880" s="7">
        <f t="shared" si="14"/>
        <v>3166460273.2387223</v>
      </c>
      <c r="F880" s="7">
        <v>432794.22237490868</v>
      </c>
      <c r="G880" s="7">
        <v>509699954.06216902</v>
      </c>
      <c r="H880" s="7"/>
      <c r="I880" s="7">
        <v>510132748.28454387</v>
      </c>
      <c r="J880" s="6">
        <v>2.9513064221809771</v>
      </c>
      <c r="K880" s="7">
        <v>2532.2195010206879</v>
      </c>
      <c r="L880" s="7">
        <v>44457152</v>
      </c>
      <c r="M880" s="6">
        <v>28.905872800000001</v>
      </c>
      <c r="N880" s="6">
        <v>40.130221300000002</v>
      </c>
      <c r="O880" s="6">
        <v>51.4977728</v>
      </c>
      <c r="P880" s="6">
        <v>47.053721199999998</v>
      </c>
      <c r="Q880" s="6">
        <v>45.085512899999998</v>
      </c>
      <c r="R880" s="6">
        <v>41.738577499999998</v>
      </c>
      <c r="S880" s="5">
        <v>0</v>
      </c>
      <c r="T880" s="5">
        <v>0</v>
      </c>
      <c r="U880" s="5">
        <v>0</v>
      </c>
    </row>
    <row r="881" spans="1:21" x14ac:dyDescent="0.3">
      <c r="A881" s="2" t="s">
        <v>94</v>
      </c>
      <c r="B881" s="2">
        <v>2021</v>
      </c>
      <c r="C881" s="2" t="s">
        <v>95</v>
      </c>
      <c r="D881" s="8">
        <v>2897.6665389999998</v>
      </c>
      <c r="E881" s="4">
        <f t="shared" si="14"/>
        <v>2547626328.3999767</v>
      </c>
      <c r="F881" s="4">
        <v>36544586.50199385</v>
      </c>
      <c r="G881" s="4"/>
      <c r="H881" s="4"/>
      <c r="I881" s="4">
        <v>36544586.50199385</v>
      </c>
      <c r="J881" s="3">
        <v>3.53658034070898</v>
      </c>
      <c r="K881" s="4">
        <v>2684.9203593974348</v>
      </c>
      <c r="L881" s="4">
        <v>45910930</v>
      </c>
      <c r="M881" s="3">
        <v>28.9849423</v>
      </c>
      <c r="N881" s="3">
        <v>40.281674600000002</v>
      </c>
      <c r="O881" s="3">
        <v>49.768838100000004</v>
      </c>
      <c r="P881" s="3">
        <v>47.309489499999998</v>
      </c>
      <c r="Q881" s="3">
        <v>44.440331899999997</v>
      </c>
      <c r="R881" s="3">
        <v>40.0915058</v>
      </c>
      <c r="S881" s="2">
        <v>0</v>
      </c>
      <c r="T881" s="2">
        <v>0</v>
      </c>
      <c r="U881" s="2">
        <v>0</v>
      </c>
    </row>
    <row r="882" spans="1:21" x14ac:dyDescent="0.3">
      <c r="A882" s="2" t="s">
        <v>96</v>
      </c>
      <c r="B882" s="2">
        <v>2002</v>
      </c>
      <c r="C882" s="2" t="s">
        <v>97</v>
      </c>
      <c r="D882" s="8">
        <v>1482.207705</v>
      </c>
      <c r="E882" s="4">
        <f t="shared" si="14"/>
        <v>1303155943.7886398</v>
      </c>
      <c r="F882" s="4">
        <v>43188500.661848716</v>
      </c>
      <c r="G882" s="4"/>
      <c r="H882" s="4"/>
      <c r="I882" s="4">
        <v>43188500.661848716</v>
      </c>
      <c r="J882" s="3">
        <v>4.5060142803260419</v>
      </c>
      <c r="K882" s="4">
        <v>1837.065851720346</v>
      </c>
      <c r="L882" s="4">
        <v>10647949</v>
      </c>
      <c r="M882" s="3">
        <v>31.624825000000001</v>
      </c>
      <c r="N882" s="3">
        <v>30.6610516</v>
      </c>
      <c r="O882" s="3">
        <v>59.564193000000003</v>
      </c>
      <c r="P882" s="3">
        <v>41.648983100000002</v>
      </c>
      <c r="Q882" s="3">
        <v>51.025637400000001</v>
      </c>
      <c r="R882" s="3">
        <v>48.275739700000003</v>
      </c>
      <c r="S882" s="2">
        <v>0</v>
      </c>
      <c r="T882" s="2">
        <v>0</v>
      </c>
      <c r="U882" s="2">
        <v>0</v>
      </c>
    </row>
    <row r="883" spans="1:21" x14ac:dyDescent="0.3">
      <c r="A883" s="5" t="s">
        <v>96</v>
      </c>
      <c r="B883" s="5">
        <v>2003</v>
      </c>
      <c r="C883" s="5" t="s">
        <v>97</v>
      </c>
      <c r="D883" s="9">
        <v>1356.4066809999999</v>
      </c>
      <c r="E883" s="7">
        <f t="shared" si="14"/>
        <v>1192551774.3410809</v>
      </c>
      <c r="F883" s="7">
        <v>5018291.3051797822</v>
      </c>
      <c r="G883" s="7"/>
      <c r="H883" s="7"/>
      <c r="I883" s="7">
        <v>5018291.3051797822</v>
      </c>
      <c r="J883" s="6">
        <v>6.9449739822122316</v>
      </c>
      <c r="K883" s="7">
        <v>1942.215208716475</v>
      </c>
      <c r="L883" s="7">
        <v>10983595</v>
      </c>
      <c r="M883" s="6">
        <v>31.471535899999999</v>
      </c>
      <c r="N883" s="6">
        <v>27.790725299999998</v>
      </c>
      <c r="O883" s="6">
        <v>63.9244184</v>
      </c>
      <c r="P883" s="6">
        <v>41.933015300000001</v>
      </c>
      <c r="Q883" s="6">
        <v>49.897465500000003</v>
      </c>
      <c r="R883" s="6">
        <v>48.635706399999997</v>
      </c>
      <c r="S883" s="5">
        <v>0</v>
      </c>
      <c r="T883" s="5">
        <v>0</v>
      </c>
      <c r="U883" s="5">
        <v>0</v>
      </c>
    </row>
    <row r="884" spans="1:21" x14ac:dyDescent="0.3">
      <c r="A884" s="2" t="s">
        <v>96</v>
      </c>
      <c r="B884" s="2">
        <v>2004</v>
      </c>
      <c r="C884" s="2" t="s">
        <v>97</v>
      </c>
      <c r="D884" s="8">
        <v>1647.2954540000001</v>
      </c>
      <c r="E884" s="4">
        <f t="shared" si="14"/>
        <v>1448300973.4834068</v>
      </c>
      <c r="F884" s="4">
        <v>16027385.8496514</v>
      </c>
      <c r="G884" s="4"/>
      <c r="H884" s="4"/>
      <c r="I884" s="4">
        <v>16027385.8496514</v>
      </c>
      <c r="J884" s="3">
        <v>7.032395115152184</v>
      </c>
      <c r="K884" s="4">
        <v>2067.9372845653029</v>
      </c>
      <c r="L884" s="4">
        <v>11338198</v>
      </c>
      <c r="M884" s="3">
        <v>35.5974164</v>
      </c>
      <c r="N884" s="3">
        <v>31.427575699999998</v>
      </c>
      <c r="O884" s="3">
        <v>63.209167399999998</v>
      </c>
      <c r="P884" s="3">
        <v>43.740776599999997</v>
      </c>
      <c r="Q884" s="3">
        <v>48.874602400000001</v>
      </c>
      <c r="R884" s="3">
        <v>49.597727199999987</v>
      </c>
      <c r="S884" s="2">
        <v>0</v>
      </c>
      <c r="T884" s="2">
        <v>0</v>
      </c>
      <c r="U884" s="2">
        <v>0</v>
      </c>
    </row>
    <row r="885" spans="1:21" x14ac:dyDescent="0.3">
      <c r="A885" s="5" t="s">
        <v>96</v>
      </c>
      <c r="B885" s="5">
        <v>2005</v>
      </c>
      <c r="C885" s="5" t="s">
        <v>97</v>
      </c>
      <c r="D885" s="9">
        <v>2198.7414269999999</v>
      </c>
      <c r="E885" s="7">
        <f t="shared" si="14"/>
        <v>1933131874.6918576</v>
      </c>
      <c r="F885" s="7">
        <v>18446983.47172017</v>
      </c>
      <c r="G885" s="7">
        <v>17361866.796913099</v>
      </c>
      <c r="H885" s="7"/>
      <c r="I885" s="7">
        <v>35808850.268633269</v>
      </c>
      <c r="J885" s="6">
        <v>7.2355990065554323</v>
      </c>
      <c r="K885" s="7">
        <v>2212.8120255359559</v>
      </c>
      <c r="L885" s="7">
        <v>11718819</v>
      </c>
      <c r="M885" s="6">
        <v>35.630266399999996</v>
      </c>
      <c r="N885" s="6">
        <v>33.408958300000002</v>
      </c>
      <c r="O885" s="6">
        <v>65.163348599999992</v>
      </c>
      <c r="P885" s="6">
        <v>45.354942100000002</v>
      </c>
      <c r="Q885" s="6">
        <v>50.331667499999988</v>
      </c>
      <c r="R885" s="6">
        <v>52.174244100000003</v>
      </c>
      <c r="S885" s="5">
        <v>0</v>
      </c>
      <c r="T885" s="5">
        <v>0</v>
      </c>
      <c r="U885" s="5">
        <v>0</v>
      </c>
    </row>
    <row r="886" spans="1:21" x14ac:dyDescent="0.3">
      <c r="A886" s="2" t="s">
        <v>96</v>
      </c>
      <c r="B886" s="2">
        <v>2006</v>
      </c>
      <c r="C886" s="2" t="s">
        <v>97</v>
      </c>
      <c r="D886" s="8">
        <v>6009.239947</v>
      </c>
      <c r="E886" s="4">
        <f t="shared" si="14"/>
        <v>5283319421.5416536</v>
      </c>
      <c r="F886" s="4">
        <v>57492894.869574428</v>
      </c>
      <c r="G886" s="4">
        <v>2548737.31281714</v>
      </c>
      <c r="H886" s="4"/>
      <c r="I886" s="4">
        <v>60041632.182391569</v>
      </c>
      <c r="J886" s="3">
        <v>7.9036944448007924</v>
      </c>
      <c r="K886" s="4">
        <v>2377.992397782109</v>
      </c>
      <c r="L886" s="4">
        <v>12129553</v>
      </c>
      <c r="M886" s="3">
        <v>39.918708799999997</v>
      </c>
      <c r="N886" s="3">
        <v>32.633180699999997</v>
      </c>
      <c r="O886" s="3">
        <v>70.397864999999996</v>
      </c>
      <c r="P886" s="3">
        <v>44.513770200000003</v>
      </c>
      <c r="Q886" s="3">
        <v>49.062970100000001</v>
      </c>
      <c r="R886" s="3">
        <v>54.578627500000003</v>
      </c>
      <c r="S886" s="2">
        <v>0</v>
      </c>
      <c r="T886" s="2">
        <v>0</v>
      </c>
      <c r="U886" s="2">
        <v>0</v>
      </c>
    </row>
    <row r="887" spans="1:21" x14ac:dyDescent="0.3">
      <c r="A887" s="5" t="s">
        <v>96</v>
      </c>
      <c r="B887" s="5">
        <v>2007</v>
      </c>
      <c r="C887" s="5" t="s">
        <v>97</v>
      </c>
      <c r="D887" s="9">
        <v>1119.1051480000001</v>
      </c>
      <c r="E887" s="7">
        <f t="shared" si="14"/>
        <v>983916437.90616083</v>
      </c>
      <c r="F887" s="7">
        <v>66891708.865649924</v>
      </c>
      <c r="G887" s="7">
        <v>46600947.5166981</v>
      </c>
      <c r="H887" s="7">
        <v>71788849.612692699</v>
      </c>
      <c r="I887" s="7">
        <v>185281505.99504071</v>
      </c>
      <c r="J887" s="6">
        <v>8.3524362444740632</v>
      </c>
      <c r="K887" s="7">
        <v>2554.6893762921768</v>
      </c>
      <c r="L887" s="7">
        <v>12565085</v>
      </c>
      <c r="M887" s="6">
        <v>40.826543600000001</v>
      </c>
      <c r="N887" s="6">
        <v>34.052129499999999</v>
      </c>
      <c r="O887" s="6">
        <v>70.748760300000001</v>
      </c>
      <c r="P887" s="6">
        <v>46.930782999999998</v>
      </c>
      <c r="Q887" s="6">
        <v>49.8859584</v>
      </c>
      <c r="R887" s="6">
        <v>54.5687158</v>
      </c>
      <c r="S887" s="5">
        <v>0</v>
      </c>
      <c r="T887" s="5">
        <v>0</v>
      </c>
      <c r="U887" s="5">
        <v>0</v>
      </c>
    </row>
    <row r="888" spans="1:21" x14ac:dyDescent="0.3">
      <c r="A888" s="2" t="s">
        <v>96</v>
      </c>
      <c r="B888" s="2">
        <v>2008</v>
      </c>
      <c r="C888" s="2" t="s">
        <v>97</v>
      </c>
      <c r="D888" s="8">
        <v>1228.9849959999999</v>
      </c>
      <c r="E888" s="4">
        <f t="shared" si="14"/>
        <v>1080522720.9127603</v>
      </c>
      <c r="F888" s="4">
        <v>480244565.41395098</v>
      </c>
      <c r="G888" s="4"/>
      <c r="H888" s="4"/>
      <c r="I888" s="4">
        <v>480244565.41395098</v>
      </c>
      <c r="J888" s="3">
        <v>7.7738958154236286</v>
      </c>
      <c r="K888" s="4">
        <v>2708.008196691012</v>
      </c>
      <c r="L888" s="4">
        <v>13021324</v>
      </c>
      <c r="M888" s="3">
        <v>40.853141000000001</v>
      </c>
      <c r="N888" s="3">
        <v>35.634093</v>
      </c>
      <c r="O888" s="3">
        <v>70.129794899999993</v>
      </c>
      <c r="P888" s="3">
        <v>48.016607399999998</v>
      </c>
      <c r="Q888" s="3">
        <v>51.260911200000002</v>
      </c>
      <c r="R888" s="3">
        <v>55.169886099999999</v>
      </c>
      <c r="S888" s="2">
        <v>0</v>
      </c>
      <c r="T888" s="2">
        <v>0</v>
      </c>
      <c r="U888" s="2">
        <v>0</v>
      </c>
    </row>
    <row r="889" spans="1:21" x14ac:dyDescent="0.3">
      <c r="A889" s="5" t="s">
        <v>96</v>
      </c>
      <c r="B889" s="5">
        <v>2009</v>
      </c>
      <c r="C889" s="5" t="s">
        <v>97</v>
      </c>
      <c r="D889" s="9">
        <v>1434.9573459999999</v>
      </c>
      <c r="E889" s="7">
        <f t="shared" si="14"/>
        <v>1261613462.279952</v>
      </c>
      <c r="F889" s="7">
        <v>258996423.0406594</v>
      </c>
      <c r="G889" s="7"/>
      <c r="H889" s="7"/>
      <c r="I889" s="7">
        <v>258996423.0406594</v>
      </c>
      <c r="J889" s="6">
        <v>9.2203484058663037</v>
      </c>
      <c r="K889" s="7">
        <v>2872.4641836626788</v>
      </c>
      <c r="L889" s="7">
        <v>13490389</v>
      </c>
      <c r="M889" s="6">
        <v>41.5996083</v>
      </c>
      <c r="N889" s="6">
        <v>37.708923599999999</v>
      </c>
      <c r="O889" s="6">
        <v>72.443712899999994</v>
      </c>
      <c r="P889" s="6">
        <v>48.086378600000003</v>
      </c>
      <c r="Q889" s="6">
        <v>51.067349299999997</v>
      </c>
      <c r="R889" s="6">
        <v>54.682082999999999</v>
      </c>
      <c r="S889" s="5">
        <v>0</v>
      </c>
      <c r="T889" s="5">
        <v>0</v>
      </c>
      <c r="U889" s="5">
        <v>0</v>
      </c>
    </row>
    <row r="890" spans="1:21" x14ac:dyDescent="0.3">
      <c r="A890" s="2" t="s">
        <v>96</v>
      </c>
      <c r="B890" s="2">
        <v>2010</v>
      </c>
      <c r="C890" s="2" t="s">
        <v>97</v>
      </c>
      <c r="D890" s="8">
        <v>1064.2917890000001</v>
      </c>
      <c r="E890" s="4">
        <f t="shared" si="14"/>
        <v>935724572.25945604</v>
      </c>
      <c r="F890" s="4">
        <v>212737567.38620049</v>
      </c>
      <c r="G890" s="4">
        <v>139272693.579624</v>
      </c>
      <c r="H890" s="4"/>
      <c r="I890" s="4">
        <v>352010260.96582448</v>
      </c>
      <c r="J890" s="3">
        <v>10.29822332412127</v>
      </c>
      <c r="K890" s="4">
        <v>3097.6640049924281</v>
      </c>
      <c r="L890" s="4">
        <v>13965594</v>
      </c>
      <c r="M890" s="3">
        <v>40.384830800000003</v>
      </c>
      <c r="N890" s="3">
        <v>37.353490800000003</v>
      </c>
      <c r="O890" s="3">
        <v>72.283906000000002</v>
      </c>
      <c r="P890" s="3">
        <v>46.862596799999999</v>
      </c>
      <c r="Q890" s="3">
        <v>50.435993600000003</v>
      </c>
      <c r="R890" s="3">
        <v>54.5736183</v>
      </c>
      <c r="S890" s="2">
        <v>0</v>
      </c>
      <c r="T890" s="2">
        <v>0</v>
      </c>
      <c r="U890" s="2">
        <v>0</v>
      </c>
    </row>
    <row r="891" spans="1:21" x14ac:dyDescent="0.3">
      <c r="A891" s="5" t="s">
        <v>96</v>
      </c>
      <c r="B891" s="5">
        <v>2011</v>
      </c>
      <c r="C891" s="5" t="s">
        <v>97</v>
      </c>
      <c r="D891" s="9">
        <v>1162.669944</v>
      </c>
      <c r="E891" s="7">
        <f t="shared" si="14"/>
        <v>1022218575.0869545</v>
      </c>
      <c r="F891" s="7">
        <v>49548000.126735523</v>
      </c>
      <c r="G891" s="7">
        <v>759369432.85226083</v>
      </c>
      <c r="H891" s="7"/>
      <c r="I891" s="7">
        <v>808917432.9789964</v>
      </c>
      <c r="J891" s="6">
        <v>5.5692521926301879</v>
      </c>
      <c r="K891" s="7">
        <v>3228.4871425503911</v>
      </c>
      <c r="L891" s="7">
        <v>14437796</v>
      </c>
      <c r="M891" s="6">
        <v>42.315994699999997</v>
      </c>
      <c r="N891" s="6">
        <v>41.406466500000001</v>
      </c>
      <c r="O891" s="6">
        <v>72.610593299999991</v>
      </c>
      <c r="P891" s="6">
        <v>47.111708</v>
      </c>
      <c r="Q891" s="6">
        <v>51.389000099999997</v>
      </c>
      <c r="R891" s="6">
        <v>55.3578926</v>
      </c>
      <c r="S891" s="5">
        <v>0</v>
      </c>
      <c r="T891" s="5">
        <v>0</v>
      </c>
      <c r="U891" s="5">
        <v>0</v>
      </c>
    </row>
    <row r="892" spans="1:21" x14ac:dyDescent="0.3">
      <c r="A892" s="2" t="s">
        <v>96</v>
      </c>
      <c r="B892" s="2">
        <v>2012</v>
      </c>
      <c r="C892" s="2" t="s">
        <v>97</v>
      </c>
      <c r="D892" s="8">
        <v>1126.0999260000001</v>
      </c>
      <c r="E892" s="4">
        <f t="shared" si="14"/>
        <v>990066241.67214644</v>
      </c>
      <c r="F892" s="4">
        <v>7044741.3475550599</v>
      </c>
      <c r="G892" s="4"/>
      <c r="H892" s="4"/>
      <c r="I892" s="4">
        <v>7044741.3475550599</v>
      </c>
      <c r="J892" s="3">
        <v>7.597381049019944</v>
      </c>
      <c r="K892" s="4">
        <v>3323.6331221985638</v>
      </c>
      <c r="L892" s="4">
        <v>14913629</v>
      </c>
      <c r="M892" s="3">
        <v>42.4033248</v>
      </c>
      <c r="N892" s="3">
        <v>41.612979500000002</v>
      </c>
      <c r="O892" s="3">
        <v>73.698915</v>
      </c>
      <c r="P892" s="3">
        <v>46.839245599999998</v>
      </c>
      <c r="Q892" s="3">
        <v>48.550010299999997</v>
      </c>
      <c r="R892" s="3">
        <v>53.335007399999988</v>
      </c>
      <c r="S892" s="2">
        <v>0</v>
      </c>
      <c r="T892" s="2">
        <v>0</v>
      </c>
      <c r="U892" s="2">
        <v>0</v>
      </c>
    </row>
    <row r="893" spans="1:21" x14ac:dyDescent="0.3">
      <c r="A893" s="5" t="s">
        <v>96</v>
      </c>
      <c r="B893" s="5">
        <v>2013</v>
      </c>
      <c r="C893" s="5" t="s">
        <v>97</v>
      </c>
      <c r="D893" s="9">
        <v>1265.3786459999999</v>
      </c>
      <c r="E893" s="7">
        <f t="shared" si="14"/>
        <v>1112519991.7093408</v>
      </c>
      <c r="F893" s="7">
        <v>214137535.14033619</v>
      </c>
      <c r="G893" s="7">
        <v>596103019.25028503</v>
      </c>
      <c r="H893" s="7"/>
      <c r="I893" s="7">
        <v>810240554.39062119</v>
      </c>
      <c r="J893" s="6">
        <v>5.0575369504725236</v>
      </c>
      <c r="K893" s="7">
        <v>3477.281787776828</v>
      </c>
      <c r="L893" s="7">
        <v>15398997</v>
      </c>
      <c r="M893" s="6">
        <v>41.677637399999988</v>
      </c>
      <c r="N893" s="6">
        <v>41.011233699999998</v>
      </c>
      <c r="O893" s="6">
        <v>71.23228069999999</v>
      </c>
      <c r="P893" s="6">
        <v>46.563771000000003</v>
      </c>
      <c r="Q893" s="6">
        <v>49.907373700000001</v>
      </c>
      <c r="R893" s="6">
        <v>54.056141399999987</v>
      </c>
      <c r="S893" s="5">
        <v>0</v>
      </c>
      <c r="T893" s="5">
        <v>0</v>
      </c>
      <c r="U893" s="5">
        <v>0</v>
      </c>
    </row>
    <row r="894" spans="1:21" x14ac:dyDescent="0.3">
      <c r="A894" s="2" t="s">
        <v>96</v>
      </c>
      <c r="B894" s="2">
        <v>2014</v>
      </c>
      <c r="C894" s="2" t="s">
        <v>97</v>
      </c>
      <c r="D894" s="8">
        <v>1148.4148600000001</v>
      </c>
      <c r="E894" s="4">
        <f t="shared" si="14"/>
        <v>1009685515.529147</v>
      </c>
      <c r="F894" s="4">
        <v>134734112.2986176</v>
      </c>
      <c r="G894" s="4">
        <v>676055410.97397292</v>
      </c>
      <c r="H894" s="4"/>
      <c r="I894" s="4">
        <v>810789523.27259052</v>
      </c>
      <c r="J894" s="3">
        <v>4.6932831637670489</v>
      </c>
      <c r="K894" s="4">
        <v>3441.314976437749</v>
      </c>
      <c r="L894" s="4">
        <v>15895315</v>
      </c>
      <c r="M894" s="3">
        <v>39.952461499999998</v>
      </c>
      <c r="N894" s="3">
        <v>42.663726500000003</v>
      </c>
      <c r="O894" s="3">
        <v>64.902731199999991</v>
      </c>
      <c r="P894" s="3">
        <v>47.894039799999987</v>
      </c>
      <c r="Q894" s="3">
        <v>49.712162999999997</v>
      </c>
      <c r="R894" s="3">
        <v>53.827880999999998</v>
      </c>
      <c r="S894" s="2">
        <v>0</v>
      </c>
      <c r="T894" s="2">
        <v>0</v>
      </c>
      <c r="U894" s="2">
        <v>0</v>
      </c>
    </row>
    <row r="895" spans="1:21" x14ac:dyDescent="0.3">
      <c r="A895" s="5" t="s">
        <v>96</v>
      </c>
      <c r="B895" s="5">
        <v>2015</v>
      </c>
      <c r="C895" s="5" t="s">
        <v>97</v>
      </c>
      <c r="D895" s="9">
        <v>1057.816611</v>
      </c>
      <c r="E895" s="7">
        <f t="shared" si="14"/>
        <v>930031600.43821633</v>
      </c>
      <c r="F895" s="7">
        <v>99509948.698527843</v>
      </c>
      <c r="G895" s="7">
        <v>466294276.40435761</v>
      </c>
      <c r="H895" s="7">
        <v>342798228.74299401</v>
      </c>
      <c r="I895" s="7">
        <v>908602453.84587944</v>
      </c>
      <c r="J895" s="6">
        <v>2.9203751121796131</v>
      </c>
      <c r="K895" s="7">
        <v>3337.4730688769632</v>
      </c>
      <c r="L895" s="7">
        <v>16399089</v>
      </c>
      <c r="M895" s="6">
        <v>39.855860799999988</v>
      </c>
      <c r="N895" s="6">
        <v>41.040728299999998</v>
      </c>
      <c r="O895" s="6">
        <v>67.299778500000002</v>
      </c>
      <c r="P895" s="6">
        <v>48.833784700000002</v>
      </c>
      <c r="Q895" s="6">
        <v>50.837152699999997</v>
      </c>
      <c r="R895" s="6">
        <v>53.461728899999997</v>
      </c>
      <c r="S895" s="5">
        <v>0</v>
      </c>
      <c r="T895" s="5">
        <v>0</v>
      </c>
      <c r="U895" s="5">
        <v>0</v>
      </c>
    </row>
    <row r="896" spans="1:21" x14ac:dyDescent="0.3">
      <c r="A896" s="2" t="s">
        <v>96</v>
      </c>
      <c r="B896" s="2">
        <v>2016</v>
      </c>
      <c r="C896" s="2" t="s">
        <v>97</v>
      </c>
      <c r="D896" s="8">
        <v>1273.5500509999999</v>
      </c>
      <c r="E896" s="4">
        <f t="shared" si="14"/>
        <v>1119704285.0839689</v>
      </c>
      <c r="F896" s="4">
        <v>149259627.18297821</v>
      </c>
      <c r="G896" s="4">
        <v>1448438504.0709119</v>
      </c>
      <c r="H896" s="4">
        <v>1296431563.9642091</v>
      </c>
      <c r="I896" s="4">
        <v>2894129695.2181001</v>
      </c>
      <c r="J896" s="3">
        <v>3.755100316789878</v>
      </c>
      <c r="K896" s="4">
        <v>3313.3512157002901</v>
      </c>
      <c r="L896" s="4">
        <v>16914423</v>
      </c>
      <c r="M896" s="3">
        <v>39.275837600000003</v>
      </c>
      <c r="N896" s="3">
        <v>41.062035100000003</v>
      </c>
      <c r="O896" s="3">
        <v>62.354127400000003</v>
      </c>
      <c r="P896" s="3">
        <v>47.7012942</v>
      </c>
      <c r="Q896" s="3">
        <v>50.022637199999998</v>
      </c>
      <c r="R896" s="3">
        <v>51.326250199999997</v>
      </c>
      <c r="S896" s="2">
        <v>0</v>
      </c>
      <c r="T896" s="2">
        <v>0</v>
      </c>
      <c r="U896" s="2">
        <v>0</v>
      </c>
    </row>
    <row r="897" spans="1:21" x14ac:dyDescent="0.3">
      <c r="A897" s="5" t="s">
        <v>96</v>
      </c>
      <c r="B897" s="5">
        <v>2017</v>
      </c>
      <c r="C897" s="5" t="s">
        <v>97</v>
      </c>
      <c r="D897" s="9">
        <v>1363.9109980000001</v>
      </c>
      <c r="E897" s="7">
        <f t="shared" si="14"/>
        <v>1199149564.4278786</v>
      </c>
      <c r="F897" s="7">
        <v>566077646.52304184</v>
      </c>
      <c r="G897" s="7">
        <v>2465256640.208015</v>
      </c>
      <c r="H897" s="7">
        <v>68656530.948911995</v>
      </c>
      <c r="I897" s="7">
        <v>3099990817.6799688</v>
      </c>
      <c r="J897" s="6">
        <v>3.5258627714992632</v>
      </c>
      <c r="K897" s="7">
        <v>3391.6276849277479</v>
      </c>
      <c r="L897" s="7">
        <v>17441320</v>
      </c>
      <c r="M897" s="6">
        <v>38.461516699999997</v>
      </c>
      <c r="N897" s="6">
        <v>42.3325326</v>
      </c>
      <c r="O897" s="6">
        <v>62.288433299999987</v>
      </c>
      <c r="P897" s="6">
        <v>47.721557300000001</v>
      </c>
      <c r="Q897" s="6">
        <v>49.211906399999997</v>
      </c>
      <c r="R897" s="6">
        <v>50.389781300000003</v>
      </c>
      <c r="S897" s="5">
        <v>0</v>
      </c>
      <c r="T897" s="5">
        <v>0</v>
      </c>
      <c r="U897" s="5">
        <v>0</v>
      </c>
    </row>
    <row r="898" spans="1:21" x14ac:dyDescent="0.3">
      <c r="A898" s="2" t="s">
        <v>96</v>
      </c>
      <c r="B898" s="2">
        <v>2018</v>
      </c>
      <c r="C898" s="2" t="s">
        <v>97</v>
      </c>
      <c r="D898" s="8">
        <v>1272.462354</v>
      </c>
      <c r="E898" s="4">
        <f t="shared" si="14"/>
        <v>1118747982.6671014</v>
      </c>
      <c r="F898" s="4">
        <v>33630441.18329791</v>
      </c>
      <c r="G898" s="4">
        <v>1955013536.37362</v>
      </c>
      <c r="H898" s="4">
        <v>873929438.51921797</v>
      </c>
      <c r="I898" s="4">
        <v>2862573416.0761361</v>
      </c>
      <c r="J898" s="3">
        <v>4.0344938966716484</v>
      </c>
      <c r="K898" s="4">
        <v>3442.2730719630181</v>
      </c>
      <c r="L898" s="4">
        <v>17973569</v>
      </c>
      <c r="M898" s="3">
        <v>35.3753648</v>
      </c>
      <c r="N898" s="3">
        <v>41.579726299999997</v>
      </c>
      <c r="O898" s="3">
        <v>60.912308799999998</v>
      </c>
      <c r="P898" s="3">
        <v>47.965157900000001</v>
      </c>
      <c r="Q898" s="3">
        <v>48.673034100000002</v>
      </c>
      <c r="R898" s="3">
        <v>48.576187399999988</v>
      </c>
      <c r="S898" s="2">
        <v>0</v>
      </c>
      <c r="T898" s="2">
        <v>0</v>
      </c>
      <c r="U898" s="2">
        <v>0</v>
      </c>
    </row>
    <row r="899" spans="1:21" x14ac:dyDescent="0.3">
      <c r="A899" s="5" t="s">
        <v>96</v>
      </c>
      <c r="B899" s="5">
        <v>2019</v>
      </c>
      <c r="C899" s="5" t="s">
        <v>97</v>
      </c>
      <c r="D899" s="9">
        <v>1146.4842650000001</v>
      </c>
      <c r="E899" s="7">
        <f t="shared" si="14"/>
        <v>1007988137.7994187</v>
      </c>
      <c r="F899" s="7">
        <v>34002229.857835948</v>
      </c>
      <c r="G899" s="7">
        <v>143796601.24745151</v>
      </c>
      <c r="H899" s="7">
        <v>0</v>
      </c>
      <c r="I899" s="7">
        <v>177798831.1052874</v>
      </c>
      <c r="J899" s="6">
        <v>1.4413060260378501</v>
      </c>
      <c r="K899" s="7">
        <v>3361.3975029961211</v>
      </c>
      <c r="L899" s="7">
        <v>18513839</v>
      </c>
      <c r="M899" s="6">
        <v>34.787477799999998</v>
      </c>
      <c r="N899" s="6">
        <v>39.290659599999998</v>
      </c>
      <c r="O899" s="6">
        <v>59.590169000000003</v>
      </c>
      <c r="P899" s="6">
        <v>46.838550099999999</v>
      </c>
      <c r="Q899" s="6">
        <v>46.790515300000003</v>
      </c>
      <c r="R899" s="6">
        <v>48.406756299999998</v>
      </c>
      <c r="S899" s="5">
        <v>0</v>
      </c>
      <c r="T899" s="5">
        <v>0</v>
      </c>
      <c r="U899" s="5">
        <v>0</v>
      </c>
    </row>
    <row r="900" spans="1:21" x14ac:dyDescent="0.3">
      <c r="A900" s="2" t="s">
        <v>96</v>
      </c>
      <c r="B900" s="2">
        <v>2020</v>
      </c>
      <c r="C900" s="2" t="s">
        <v>97</v>
      </c>
      <c r="D900" s="8">
        <v>1223.261696</v>
      </c>
      <c r="E900" s="4">
        <f t="shared" si="14"/>
        <v>1075490799.6861157</v>
      </c>
      <c r="F900" s="4">
        <v>610426.24988387292</v>
      </c>
      <c r="G900" s="4">
        <v>0</v>
      </c>
      <c r="H900" s="4">
        <v>0</v>
      </c>
      <c r="I900" s="4">
        <v>610426.24988387292</v>
      </c>
      <c r="J900" s="3">
        <v>-2.7850550654516719</v>
      </c>
      <c r="K900" s="4">
        <v>3157.3000931164288</v>
      </c>
      <c r="L900" s="4">
        <v>19059395</v>
      </c>
      <c r="M900" s="3">
        <v>35.607182999999999</v>
      </c>
      <c r="N900" s="3">
        <v>37.061776000000002</v>
      </c>
      <c r="O900" s="3">
        <v>59.609459299999997</v>
      </c>
      <c r="P900" s="3">
        <v>45.1981836</v>
      </c>
      <c r="Q900" s="3">
        <v>45.661142099999999</v>
      </c>
      <c r="R900" s="3">
        <v>48.631027899999999</v>
      </c>
      <c r="S900" s="2">
        <v>0</v>
      </c>
      <c r="T900" s="2">
        <v>0</v>
      </c>
      <c r="U900" s="2">
        <v>0</v>
      </c>
    </row>
    <row r="901" spans="1:21" x14ac:dyDescent="0.3">
      <c r="A901" s="5" t="s">
        <v>96</v>
      </c>
      <c r="B901" s="5">
        <v>2021</v>
      </c>
      <c r="C901" s="5" t="s">
        <v>97</v>
      </c>
      <c r="D901" s="9">
        <v>1253.7941450000001</v>
      </c>
      <c r="E901" s="7">
        <f t="shared" si="14"/>
        <v>1102334906.7964439</v>
      </c>
      <c r="F901" s="7">
        <v>19816700</v>
      </c>
      <c r="G901" s="7"/>
      <c r="H901" s="7">
        <v>0</v>
      </c>
      <c r="I901" s="7">
        <v>19816700</v>
      </c>
      <c r="J901" s="6">
        <v>6.234922047264476</v>
      </c>
      <c r="K901" s="7">
        <v>3503.034914183715</v>
      </c>
      <c r="L901" s="7">
        <v>19603607</v>
      </c>
      <c r="M901" s="6">
        <v>33.829563299999997</v>
      </c>
      <c r="N901" s="6">
        <v>37.211076899999988</v>
      </c>
      <c r="O901" s="6">
        <v>63.190765399999997</v>
      </c>
      <c r="P901" s="6">
        <v>46.784351600000001</v>
      </c>
      <c r="Q901" s="6">
        <v>46.592619800000001</v>
      </c>
      <c r="R901" s="6">
        <v>47.111894199999988</v>
      </c>
      <c r="S901" s="5">
        <v>0</v>
      </c>
      <c r="T901" s="5">
        <v>0</v>
      </c>
      <c r="U901" s="5">
        <v>0</v>
      </c>
    </row>
    <row r="902" spans="1:21" x14ac:dyDescent="0.3">
      <c r="A902" s="5" t="s">
        <v>98</v>
      </c>
      <c r="B902" s="5">
        <v>2002</v>
      </c>
      <c r="C902" s="5" t="s">
        <v>99</v>
      </c>
      <c r="D902" s="9">
        <v>273.10270400000002</v>
      </c>
      <c r="E902" s="7">
        <f t="shared" si="14"/>
        <v>240111700.12258813</v>
      </c>
      <c r="F902" s="7">
        <v>12179984.020431319</v>
      </c>
      <c r="G902" s="7">
        <v>40598368.5337511</v>
      </c>
      <c r="H902" s="7"/>
      <c r="I902" s="7">
        <v>52778352.554182418</v>
      </c>
      <c r="J902" s="6">
        <v>-8.8940128579275211</v>
      </c>
      <c r="K902" s="7">
        <v>3237.570826613784</v>
      </c>
      <c r="L902" s="7">
        <v>12087653</v>
      </c>
      <c r="M902" s="6">
        <v>20.1781583</v>
      </c>
      <c r="N902" s="6">
        <v>34.782345800000002</v>
      </c>
      <c r="O902" s="6">
        <v>38.430146899999997</v>
      </c>
      <c r="P902" s="6">
        <v>22.023095099999999</v>
      </c>
      <c r="Q902" s="6">
        <v>24.602875900000001</v>
      </c>
      <c r="R902" s="6">
        <v>28.509410500000001</v>
      </c>
      <c r="S902" s="5">
        <v>0</v>
      </c>
      <c r="T902" s="5">
        <v>0</v>
      </c>
      <c r="U902" s="5">
        <v>0</v>
      </c>
    </row>
    <row r="903" spans="1:21" x14ac:dyDescent="0.3">
      <c r="A903" s="2" t="s">
        <v>98</v>
      </c>
      <c r="B903" s="2">
        <v>2003</v>
      </c>
      <c r="C903" s="2" t="s">
        <v>99</v>
      </c>
      <c r="D903" s="8">
        <v>252.06783799999999</v>
      </c>
      <c r="E903" s="4">
        <f t="shared" si="14"/>
        <v>221617861.12672514</v>
      </c>
      <c r="F903" s="4">
        <v>6138880.6257539</v>
      </c>
      <c r="G903" s="4">
        <v>14957772.414847801</v>
      </c>
      <c r="H903" s="4"/>
      <c r="I903" s="4">
        <v>21096653.040601701</v>
      </c>
      <c r="J903" s="3">
        <v>-16.995073335576318</v>
      </c>
      <c r="K903" s="4">
        <v>2707.9895717327181</v>
      </c>
      <c r="L903" s="4">
        <v>12232323</v>
      </c>
      <c r="M903" s="3">
        <v>19.1558049</v>
      </c>
      <c r="N903" s="3">
        <v>32.912649600000002</v>
      </c>
      <c r="O903" s="3">
        <v>41.028676900000001</v>
      </c>
      <c r="P903" s="3">
        <v>18.950275099999999</v>
      </c>
      <c r="Q903" s="3">
        <v>25.654374199999999</v>
      </c>
      <c r="R903" s="3">
        <v>31.072529200000002</v>
      </c>
      <c r="S903" s="2">
        <v>0</v>
      </c>
      <c r="T903" s="2">
        <v>0</v>
      </c>
      <c r="U903" s="2">
        <v>0</v>
      </c>
    </row>
    <row r="904" spans="1:21" x14ac:dyDescent="0.3">
      <c r="A904" s="5" t="s">
        <v>98</v>
      </c>
      <c r="B904" s="5">
        <v>2004</v>
      </c>
      <c r="C904" s="5" t="s">
        <v>99</v>
      </c>
      <c r="D904" s="9">
        <v>238.87143800000001</v>
      </c>
      <c r="E904" s="7">
        <f t="shared" si="14"/>
        <v>210015595.77713811</v>
      </c>
      <c r="F904" s="7">
        <v>597815.51323490497</v>
      </c>
      <c r="G904" s="7">
        <v>112288249.6090111</v>
      </c>
      <c r="H904" s="7"/>
      <c r="I904" s="7">
        <v>112886065.122246</v>
      </c>
      <c r="J904" s="6">
        <v>-5.8075396419620517</v>
      </c>
      <c r="K904" s="7">
        <v>2591.0200543179358</v>
      </c>
      <c r="L904" s="7">
        <v>12365896</v>
      </c>
      <c r="M904" s="6">
        <v>19.379259300000001</v>
      </c>
      <c r="N904" s="6">
        <v>32.533353200000001</v>
      </c>
      <c r="O904" s="6">
        <v>39.537234499999997</v>
      </c>
      <c r="P904" s="6">
        <v>26.428149099999999</v>
      </c>
      <c r="Q904" s="6">
        <v>27.0136273</v>
      </c>
      <c r="R904" s="6">
        <v>28.1239794</v>
      </c>
      <c r="S904" s="5">
        <v>0</v>
      </c>
      <c r="T904" s="5">
        <v>0</v>
      </c>
      <c r="U904" s="5">
        <v>0</v>
      </c>
    </row>
    <row r="905" spans="1:21" x14ac:dyDescent="0.3">
      <c r="A905" s="2" t="s">
        <v>98</v>
      </c>
      <c r="B905" s="2">
        <v>2005</v>
      </c>
      <c r="C905" s="2" t="s">
        <v>99</v>
      </c>
      <c r="D905" s="8">
        <v>305.58238799999998</v>
      </c>
      <c r="E905" s="4">
        <f t="shared" si="14"/>
        <v>268667814.83862698</v>
      </c>
      <c r="F905" s="4">
        <v>13021400.097684801</v>
      </c>
      <c r="G905" s="4">
        <v>58628858.280292898</v>
      </c>
      <c r="H905" s="4"/>
      <c r="I905" s="4">
        <v>71650258.377977699</v>
      </c>
      <c r="J905" s="3">
        <v>-5.7111254124136366</v>
      </c>
      <c r="K905" s="4">
        <v>2495.920817362683</v>
      </c>
      <c r="L905" s="4">
        <v>12483432</v>
      </c>
      <c r="M905" s="3">
        <v>17.5138198</v>
      </c>
      <c r="N905" s="3">
        <v>26.313541699999998</v>
      </c>
      <c r="O905" s="3">
        <v>39.384227799999998</v>
      </c>
      <c r="P905" s="3">
        <v>23.628863800000001</v>
      </c>
      <c r="Q905" s="3">
        <v>24.760949400000001</v>
      </c>
      <c r="R905" s="3">
        <v>27.477789300000001</v>
      </c>
      <c r="S905" s="2">
        <v>0</v>
      </c>
      <c r="T905" s="2">
        <v>0</v>
      </c>
      <c r="U905" s="2">
        <v>0</v>
      </c>
    </row>
    <row r="906" spans="1:21" x14ac:dyDescent="0.3">
      <c r="A906" s="5" t="s">
        <v>98</v>
      </c>
      <c r="B906" s="5">
        <v>2006</v>
      </c>
      <c r="C906" s="5" t="s">
        <v>99</v>
      </c>
      <c r="D906" s="9">
        <v>324.35001599999998</v>
      </c>
      <c r="E906" s="7">
        <f t="shared" si="14"/>
        <v>285168299.82228464</v>
      </c>
      <c r="F906" s="7">
        <v>20889084.817605048</v>
      </c>
      <c r="G906" s="7">
        <v>470902220.89329708</v>
      </c>
      <c r="H906" s="7"/>
      <c r="I906" s="7">
        <v>491791305.71090221</v>
      </c>
      <c r="J906" s="6">
        <v>-3.4614029033696312</v>
      </c>
      <c r="K906" s="7">
        <v>2453.7564236972198</v>
      </c>
      <c r="L906" s="7">
        <v>12636445</v>
      </c>
      <c r="M906" s="6">
        <v>20.076250300000002</v>
      </c>
      <c r="N906" s="6">
        <v>23.591223400000001</v>
      </c>
      <c r="O906" s="6">
        <v>43.6709903</v>
      </c>
      <c r="P906" s="6">
        <v>24.850839799999999</v>
      </c>
      <c r="Q906" s="6">
        <v>24.374353899999999</v>
      </c>
      <c r="R906" s="6">
        <v>29.321244199999999</v>
      </c>
      <c r="S906" s="5">
        <v>0</v>
      </c>
      <c r="T906" s="5">
        <v>0</v>
      </c>
      <c r="U906" s="5">
        <v>0</v>
      </c>
    </row>
    <row r="907" spans="1:21" x14ac:dyDescent="0.3">
      <c r="A907" s="2" t="s">
        <v>98</v>
      </c>
      <c r="B907" s="2">
        <v>2007</v>
      </c>
      <c r="C907" s="2" t="s">
        <v>99</v>
      </c>
      <c r="D907" s="8">
        <v>543.10631100000001</v>
      </c>
      <c r="E907" s="4">
        <f t="shared" si="14"/>
        <v>477498676.40093774</v>
      </c>
      <c r="F907" s="4">
        <v>27474286.140322041</v>
      </c>
      <c r="G907" s="4">
        <v>539779314.86523008</v>
      </c>
      <c r="H907" s="4">
        <v>0</v>
      </c>
      <c r="I907" s="4">
        <v>567253601.00555217</v>
      </c>
      <c r="J907" s="3">
        <v>-3.6532509148720038</v>
      </c>
      <c r="K907" s="4">
        <v>2396.3783505532469</v>
      </c>
      <c r="L907" s="4">
        <v>12804058</v>
      </c>
      <c r="M907" s="3">
        <v>19.455995000000001</v>
      </c>
      <c r="N907" s="3">
        <v>25.282240600000002</v>
      </c>
      <c r="O907" s="3">
        <v>41.681376800000002</v>
      </c>
      <c r="P907" s="3">
        <v>24.387153699999999</v>
      </c>
      <c r="Q907" s="3">
        <v>24.556780499999999</v>
      </c>
      <c r="R907" s="3">
        <v>28.586827499999998</v>
      </c>
      <c r="S907" s="2">
        <v>0</v>
      </c>
      <c r="T907" s="2">
        <v>0</v>
      </c>
      <c r="U907" s="2">
        <v>0</v>
      </c>
    </row>
    <row r="908" spans="1:21" x14ac:dyDescent="0.3">
      <c r="A908" s="5" t="s">
        <v>98</v>
      </c>
      <c r="B908" s="5">
        <v>2008</v>
      </c>
      <c r="C908" s="5" t="s">
        <v>99</v>
      </c>
      <c r="D908" s="9">
        <v>714.71985099999995</v>
      </c>
      <c r="E908" s="7">
        <f t="shared" si="14"/>
        <v>628381176.82999158</v>
      </c>
      <c r="F908" s="7">
        <v>12196687.375592399</v>
      </c>
      <c r="G908" s="7">
        <v>61421197.3601541</v>
      </c>
      <c r="H908" s="7"/>
      <c r="I908" s="7">
        <v>73617884.735746503</v>
      </c>
      <c r="J908" s="6">
        <v>-17.66899879584906</v>
      </c>
      <c r="K908" s="7">
        <v>1986.9088245993689</v>
      </c>
      <c r="L908" s="7">
        <v>12959149</v>
      </c>
      <c r="M908" s="6">
        <v>16.7771595</v>
      </c>
      <c r="N908" s="6">
        <v>20.478504099999999</v>
      </c>
      <c r="O908" s="6">
        <v>37.920821500000002</v>
      </c>
      <c r="P908" s="6">
        <v>23.7405586</v>
      </c>
      <c r="Q908" s="6">
        <v>24.387916000000001</v>
      </c>
      <c r="R908" s="6">
        <v>27.884541899999999</v>
      </c>
      <c r="S908" s="5">
        <v>0</v>
      </c>
      <c r="T908" s="5">
        <v>0</v>
      </c>
      <c r="U908" s="5">
        <v>0</v>
      </c>
    </row>
    <row r="909" spans="1:21" x14ac:dyDescent="0.3">
      <c r="A909" s="2" t="s">
        <v>98</v>
      </c>
      <c r="B909" s="2">
        <v>2009</v>
      </c>
      <c r="C909" s="2" t="s">
        <v>99</v>
      </c>
      <c r="D909" s="8">
        <v>886.859061</v>
      </c>
      <c r="E909" s="4">
        <f t="shared" si="14"/>
        <v>779725845.94340777</v>
      </c>
      <c r="F909" s="4">
        <v>68205740.365437552</v>
      </c>
      <c r="G909" s="4"/>
      <c r="H909" s="4"/>
      <c r="I909" s="4">
        <v>68205740.365437552</v>
      </c>
      <c r="J909" s="3">
        <v>13.27205461679787</v>
      </c>
      <c r="K909" s="4">
        <v>2232.8525728966988</v>
      </c>
      <c r="L909" s="4">
        <v>13142790</v>
      </c>
      <c r="M909" s="3">
        <v>16.558475999999999</v>
      </c>
      <c r="N909" s="3">
        <v>21.127625200000001</v>
      </c>
      <c r="O909" s="3">
        <v>39.189468499999997</v>
      </c>
      <c r="P909" s="3">
        <v>25.433567</v>
      </c>
      <c r="Q909" s="3">
        <v>25.041855600000002</v>
      </c>
      <c r="R909" s="3">
        <v>28.8929303</v>
      </c>
      <c r="S909" s="2">
        <v>0</v>
      </c>
      <c r="T909" s="2">
        <v>0</v>
      </c>
      <c r="U909" s="2">
        <v>0</v>
      </c>
    </row>
    <row r="910" spans="1:21" x14ac:dyDescent="0.3">
      <c r="A910" s="5" t="s">
        <v>98</v>
      </c>
      <c r="B910" s="5">
        <v>2010</v>
      </c>
      <c r="C910" s="5" t="s">
        <v>99</v>
      </c>
      <c r="D910" s="9">
        <v>830.88421200000005</v>
      </c>
      <c r="E910" s="7">
        <f t="shared" si="14"/>
        <v>730512799.12752879</v>
      </c>
      <c r="F910" s="7">
        <v>91114385.947142154</v>
      </c>
      <c r="G910" s="7">
        <v>1591061.0005421699</v>
      </c>
      <c r="H910" s="7">
        <v>10287400.8473267</v>
      </c>
      <c r="I910" s="7">
        <v>102992847.795011</v>
      </c>
      <c r="J910" s="6">
        <v>19.675407701932262</v>
      </c>
      <c r="K910" s="7">
        <v>2661.364832562133</v>
      </c>
      <c r="L910" s="7">
        <v>13356548</v>
      </c>
      <c r="M910" s="6">
        <v>18.125792199999999</v>
      </c>
      <c r="N910" s="6">
        <v>22.8453877</v>
      </c>
      <c r="O910" s="6">
        <v>40.9439931</v>
      </c>
      <c r="P910" s="6">
        <v>26.996016399999998</v>
      </c>
      <c r="Q910" s="6">
        <v>26.029085599999998</v>
      </c>
      <c r="R910" s="6">
        <v>30.352224799999998</v>
      </c>
      <c r="S910" s="5">
        <v>0</v>
      </c>
      <c r="T910" s="5">
        <v>0</v>
      </c>
      <c r="U910" s="5">
        <v>0</v>
      </c>
    </row>
    <row r="911" spans="1:21" x14ac:dyDescent="0.3">
      <c r="A911" s="2" t="s">
        <v>98</v>
      </c>
      <c r="B911" s="2">
        <v>2011</v>
      </c>
      <c r="C911" s="2" t="s">
        <v>99</v>
      </c>
      <c r="D911" s="8">
        <v>795.54238699999996</v>
      </c>
      <c r="E911" s="4">
        <f t="shared" si="14"/>
        <v>699440292.11132216</v>
      </c>
      <c r="F911" s="4">
        <v>49537439.210530177</v>
      </c>
      <c r="G911" s="4">
        <v>320729032.29198122</v>
      </c>
      <c r="H911" s="4">
        <v>12298801.8134127</v>
      </c>
      <c r="I911" s="4">
        <v>382565273.31592411</v>
      </c>
      <c r="J911" s="3">
        <v>14.1939156801139</v>
      </c>
      <c r="K911" s="4">
        <v>3047.317088737494</v>
      </c>
      <c r="L911" s="4">
        <v>13595424</v>
      </c>
      <c r="M911" s="3">
        <v>18.399763400000001</v>
      </c>
      <c r="N911" s="3">
        <v>24.632719000000002</v>
      </c>
      <c r="O911" s="3">
        <v>44.505549500000001</v>
      </c>
      <c r="P911" s="3">
        <v>27.742482500000001</v>
      </c>
      <c r="Q911" s="3">
        <v>26.254800500000002</v>
      </c>
      <c r="R911" s="3">
        <v>31.1143514</v>
      </c>
      <c r="S911" s="2">
        <v>0</v>
      </c>
      <c r="T911" s="2">
        <v>0</v>
      </c>
      <c r="U911" s="2">
        <v>0</v>
      </c>
    </row>
    <row r="912" spans="1:21" x14ac:dyDescent="0.3">
      <c r="A912" s="5" t="s">
        <v>98</v>
      </c>
      <c r="B912" s="5">
        <v>2012</v>
      </c>
      <c r="C912" s="5" t="s">
        <v>99</v>
      </c>
      <c r="D912" s="9">
        <v>1116.9362040000001</v>
      </c>
      <c r="E912" s="7">
        <f t="shared" si="14"/>
        <v>982009503.90776765</v>
      </c>
      <c r="F912" s="7">
        <v>16151795.117291041</v>
      </c>
      <c r="G912" s="7">
        <v>375104148.25790352</v>
      </c>
      <c r="H912" s="7">
        <v>64396845.036022998</v>
      </c>
      <c r="I912" s="7">
        <v>455652788.41121751</v>
      </c>
      <c r="J912" s="6">
        <v>16.66542904103375</v>
      </c>
      <c r="K912" s="7">
        <v>3472.485720010156</v>
      </c>
      <c r="L912" s="7">
        <v>13817887</v>
      </c>
      <c r="M912" s="6">
        <v>20.955858299999999</v>
      </c>
      <c r="N912" s="6">
        <v>24.943051400000002</v>
      </c>
      <c r="O912" s="6">
        <v>44.100469599999997</v>
      </c>
      <c r="P912" s="6">
        <v>28.383387299999999</v>
      </c>
      <c r="Q912" s="6">
        <v>28.6530174</v>
      </c>
      <c r="R912" s="6">
        <v>29.894895300000002</v>
      </c>
      <c r="S912" s="5">
        <v>0</v>
      </c>
      <c r="T912" s="5">
        <v>0</v>
      </c>
      <c r="U912" s="5">
        <v>0</v>
      </c>
    </row>
    <row r="913" spans="1:21" x14ac:dyDescent="0.3">
      <c r="A913" s="2" t="s">
        <v>98</v>
      </c>
      <c r="B913" s="2">
        <v>2013</v>
      </c>
      <c r="C913" s="2" t="s">
        <v>99</v>
      </c>
      <c r="D913" s="8">
        <v>928.70883400000002</v>
      </c>
      <c r="E913" s="4">
        <f t="shared" si="14"/>
        <v>816520136.14118767</v>
      </c>
      <c r="F913" s="4">
        <v>30827187.607304931</v>
      </c>
      <c r="G913" s="4">
        <v>360357955.70146799</v>
      </c>
      <c r="H913" s="4"/>
      <c r="I913" s="4">
        <v>391185143.30877292</v>
      </c>
      <c r="J913" s="3">
        <v>1.9894855402519771</v>
      </c>
      <c r="K913" s="4">
        <v>3783.9463370464741</v>
      </c>
      <c r="L913" s="4">
        <v>14013808</v>
      </c>
      <c r="M913" s="3">
        <v>19.562724599999999</v>
      </c>
      <c r="N913" s="3">
        <v>26.111936400000001</v>
      </c>
      <c r="O913" s="3">
        <v>48.726848500000003</v>
      </c>
      <c r="P913" s="3">
        <v>28.256432100000001</v>
      </c>
      <c r="Q913" s="3">
        <v>27.7730031</v>
      </c>
      <c r="R913" s="3">
        <v>31.581193599999999</v>
      </c>
      <c r="S913" s="2">
        <v>0</v>
      </c>
      <c r="T913" s="2">
        <v>0</v>
      </c>
      <c r="U913" s="2">
        <v>0</v>
      </c>
    </row>
    <row r="914" spans="1:21" x14ac:dyDescent="0.3">
      <c r="A914" s="5" t="s">
        <v>98</v>
      </c>
      <c r="B914" s="5">
        <v>2014</v>
      </c>
      <c r="C914" s="5" t="s">
        <v>99</v>
      </c>
      <c r="D914" s="9">
        <v>834.47514899999999</v>
      </c>
      <c r="E914" s="7">
        <f t="shared" si="14"/>
        <v>733669948.34456134</v>
      </c>
      <c r="F914" s="7">
        <v>253934536.33044621</v>
      </c>
      <c r="G914" s="7">
        <v>213669379.66183701</v>
      </c>
      <c r="H914" s="7"/>
      <c r="I914" s="7">
        <v>467603915.99228323</v>
      </c>
      <c r="J914" s="6">
        <v>2.376985616634173</v>
      </c>
      <c r="K914" s="7">
        <v>3903.4279770608359</v>
      </c>
      <c r="L914" s="7">
        <v>14207359</v>
      </c>
      <c r="M914" s="6">
        <v>17.545916800000001</v>
      </c>
      <c r="N914" s="6">
        <v>27.989120400000001</v>
      </c>
      <c r="O914" s="6">
        <v>49.213324</v>
      </c>
      <c r="P914" s="6">
        <v>27.931443000000002</v>
      </c>
      <c r="Q914" s="6">
        <v>28.572435200000001</v>
      </c>
      <c r="R914" s="6">
        <v>32.264572999999999</v>
      </c>
      <c r="S914" s="5">
        <v>0</v>
      </c>
      <c r="T914" s="5">
        <v>0</v>
      </c>
      <c r="U914" s="5">
        <v>0</v>
      </c>
    </row>
    <row r="915" spans="1:21" x14ac:dyDescent="0.3">
      <c r="A915" s="2" t="s">
        <v>98</v>
      </c>
      <c r="B915" s="2">
        <v>2015</v>
      </c>
      <c r="C915" s="2" t="s">
        <v>99</v>
      </c>
      <c r="D915" s="8">
        <v>968.87349500000005</v>
      </c>
      <c r="E915" s="4">
        <f t="shared" si="14"/>
        <v>851832877.08555198</v>
      </c>
      <c r="F915" s="4">
        <v>37010062.270403527</v>
      </c>
      <c r="G915" s="4">
        <v>1569195644.7214839</v>
      </c>
      <c r="H915" s="4"/>
      <c r="I915" s="4">
        <v>1606205706.9918871</v>
      </c>
      <c r="J915" s="3">
        <v>1.7798535639217621</v>
      </c>
      <c r="K915" s="4">
        <v>4045.8986473879759</v>
      </c>
      <c r="L915" s="4">
        <v>14399013</v>
      </c>
      <c r="M915" s="3">
        <v>21.4816483</v>
      </c>
      <c r="N915" s="3">
        <v>33.038207499999999</v>
      </c>
      <c r="O915" s="3">
        <v>51.263681400000003</v>
      </c>
      <c r="P915" s="3">
        <v>32.666261599999999</v>
      </c>
      <c r="Q915" s="3">
        <v>32.735824800000003</v>
      </c>
      <c r="R915" s="3">
        <v>33.603844199999997</v>
      </c>
      <c r="S915" s="2">
        <v>0</v>
      </c>
      <c r="T915" s="2">
        <v>0</v>
      </c>
      <c r="U915" s="2">
        <v>0</v>
      </c>
    </row>
    <row r="916" spans="1:21" x14ac:dyDescent="0.3">
      <c r="A916" s="5" t="s">
        <v>98</v>
      </c>
      <c r="B916" s="5">
        <v>2016</v>
      </c>
      <c r="C916" s="5" t="s">
        <v>99</v>
      </c>
      <c r="D916" s="9">
        <v>917.116534</v>
      </c>
      <c r="E916" s="7">
        <f t="shared" si="14"/>
        <v>806328194.35312283</v>
      </c>
      <c r="F916" s="7">
        <v>36965688.857986413</v>
      </c>
      <c r="G916" s="7"/>
      <c r="H916" s="7"/>
      <c r="I916" s="7">
        <v>36965688.857986413</v>
      </c>
      <c r="J916" s="6">
        <v>0.75579405855224024</v>
      </c>
      <c r="K916" s="7">
        <v>4275.4493505094024</v>
      </c>
      <c r="L916" s="7">
        <v>14600294</v>
      </c>
      <c r="M916" s="6">
        <v>21.532612499999999</v>
      </c>
      <c r="N916" s="6">
        <v>33.577567100000003</v>
      </c>
      <c r="O916" s="6">
        <v>50.3296305</v>
      </c>
      <c r="P916" s="6">
        <v>31.634641999999999</v>
      </c>
      <c r="Q916" s="6">
        <v>32.326068900000003</v>
      </c>
      <c r="R916" s="6">
        <v>32.438560000000003</v>
      </c>
      <c r="S916" s="5">
        <v>0</v>
      </c>
      <c r="T916" s="5">
        <v>0</v>
      </c>
      <c r="U916" s="5">
        <v>0</v>
      </c>
    </row>
    <row r="917" spans="1:21" x14ac:dyDescent="0.3">
      <c r="A917" s="2" t="s">
        <v>98</v>
      </c>
      <c r="B917" s="2">
        <v>2017</v>
      </c>
      <c r="C917" s="2" t="s">
        <v>99</v>
      </c>
      <c r="D917" s="8">
        <v>877.08570799999995</v>
      </c>
      <c r="E917" s="4">
        <f t="shared" si="14"/>
        <v>771133121.04410315</v>
      </c>
      <c r="F917" s="4">
        <v>168674143.6614961</v>
      </c>
      <c r="G917" s="4"/>
      <c r="H917" s="4"/>
      <c r="I917" s="4">
        <v>168674143.6614961</v>
      </c>
      <c r="J917" s="3">
        <v>4.7344111775848177</v>
      </c>
      <c r="K917" s="4">
        <v>10756.44544169847</v>
      </c>
      <c r="L917" s="4">
        <v>14812482</v>
      </c>
      <c r="M917" s="3">
        <v>21.696945400000001</v>
      </c>
      <c r="N917" s="3">
        <v>32.704693900000002</v>
      </c>
      <c r="O917" s="3">
        <v>51.6333512</v>
      </c>
      <c r="P917" s="3">
        <v>32.900798399999999</v>
      </c>
      <c r="Q917" s="3">
        <v>33.199981899999997</v>
      </c>
      <c r="R917" s="3">
        <v>32.689165899999999</v>
      </c>
      <c r="S917" s="2">
        <v>0</v>
      </c>
      <c r="T917" s="2">
        <v>0</v>
      </c>
      <c r="U917" s="2">
        <v>0</v>
      </c>
    </row>
    <row r="918" spans="1:21" x14ac:dyDescent="0.3">
      <c r="A918" s="5" t="s">
        <v>98</v>
      </c>
      <c r="B918" s="5">
        <v>2018</v>
      </c>
      <c r="C918" s="5" t="s">
        <v>99</v>
      </c>
      <c r="D918" s="9">
        <v>923.77033800000004</v>
      </c>
      <c r="E918" s="7">
        <f t="shared" si="14"/>
        <v>812178214.02455938</v>
      </c>
      <c r="F918" s="7">
        <v>195238486.40985671</v>
      </c>
      <c r="G918" s="7"/>
      <c r="H918" s="7"/>
      <c r="I918" s="7">
        <v>195238486.40985671</v>
      </c>
      <c r="J918" s="6">
        <v>5.0099215429760307</v>
      </c>
      <c r="K918" s="7">
        <v>3992.890718675003</v>
      </c>
      <c r="L918" s="7">
        <v>15034452</v>
      </c>
      <c r="M918" s="6">
        <v>21.315590799999999</v>
      </c>
      <c r="N918" s="6">
        <v>30.9765172</v>
      </c>
      <c r="O918" s="6">
        <v>51.810750400000003</v>
      </c>
      <c r="P918" s="6">
        <v>33.299182999999999</v>
      </c>
      <c r="Q918" s="6">
        <v>34.690597500000003</v>
      </c>
      <c r="R918" s="6">
        <v>35.7858953</v>
      </c>
      <c r="S918" s="5">
        <v>0</v>
      </c>
      <c r="T918" s="5">
        <v>0</v>
      </c>
      <c r="U918" s="5">
        <v>0</v>
      </c>
    </row>
    <row r="919" spans="1:21" x14ac:dyDescent="0.3">
      <c r="A919" s="2" t="s">
        <v>98</v>
      </c>
      <c r="B919" s="2">
        <v>2019</v>
      </c>
      <c r="C919" s="2" t="s">
        <v>99</v>
      </c>
      <c r="D919" s="8">
        <v>1002.934825</v>
      </c>
      <c r="E919" s="4">
        <f t="shared" si="14"/>
        <v>881779573.82252944</v>
      </c>
      <c r="F919" s="4">
        <v>93983184.94955121</v>
      </c>
      <c r="G919" s="4"/>
      <c r="H919" s="4"/>
      <c r="I919" s="4">
        <v>93983184.94955121</v>
      </c>
      <c r="J919" s="3">
        <v>-6.3324497602857122</v>
      </c>
      <c r="K919" s="4">
        <v>4165.5556783555812</v>
      </c>
      <c r="L919" s="4">
        <v>15271368</v>
      </c>
      <c r="M919" s="3">
        <v>21.877242800000001</v>
      </c>
      <c r="N919" s="3">
        <v>29.855645299999999</v>
      </c>
      <c r="O919" s="3">
        <v>49.076156999999988</v>
      </c>
      <c r="P919" s="3">
        <v>34.3588205</v>
      </c>
      <c r="Q919" s="3">
        <v>34.907720900000001</v>
      </c>
      <c r="R919" s="3">
        <v>35.012010500000002</v>
      </c>
      <c r="S919" s="2">
        <v>0</v>
      </c>
      <c r="T919" s="2">
        <v>0</v>
      </c>
      <c r="U919" s="2">
        <v>0</v>
      </c>
    </row>
    <row r="920" spans="1:21" x14ac:dyDescent="0.3">
      <c r="A920" s="5" t="s">
        <v>98</v>
      </c>
      <c r="B920" s="5">
        <v>2020</v>
      </c>
      <c r="C920" s="5" t="s">
        <v>99</v>
      </c>
      <c r="D920" s="9">
        <v>1121.442125</v>
      </c>
      <c r="E920" s="7">
        <f t="shared" si="14"/>
        <v>985971106.39680076</v>
      </c>
      <c r="F920" s="7">
        <v>9468255.8561101295</v>
      </c>
      <c r="G920" s="7"/>
      <c r="H920" s="7">
        <v>0</v>
      </c>
      <c r="I920" s="7">
        <v>9468255.8561101295</v>
      </c>
      <c r="J920" s="6">
        <v>-7.8169506018872852</v>
      </c>
      <c r="K920" s="7">
        <v>4178.5855794382805</v>
      </c>
      <c r="L920" s="7">
        <v>15526888</v>
      </c>
      <c r="M920" s="6">
        <v>24.112562</v>
      </c>
      <c r="N920" s="6">
        <v>29.4604553</v>
      </c>
      <c r="O920" s="6">
        <v>48.027695199999997</v>
      </c>
      <c r="P920" s="6">
        <v>33.883422600000003</v>
      </c>
      <c r="Q920" s="6">
        <v>35.583189300000001</v>
      </c>
      <c r="R920" s="6">
        <v>36.3824799</v>
      </c>
      <c r="S920" s="5">
        <v>0</v>
      </c>
      <c r="T920" s="5">
        <v>0</v>
      </c>
      <c r="U920" s="5">
        <v>0</v>
      </c>
    </row>
    <row r="921" spans="1:21" x14ac:dyDescent="0.3">
      <c r="A921" s="2" t="s">
        <v>98</v>
      </c>
      <c r="B921" s="2">
        <v>2021</v>
      </c>
      <c r="C921" s="2" t="s">
        <v>99</v>
      </c>
      <c r="D921" s="8">
        <v>1081.7621220000001</v>
      </c>
      <c r="E921" s="4">
        <f>(D921*0.879199277802054)*1000000</f>
        <v>951084476.41601753</v>
      </c>
      <c r="F921" s="4">
        <v>37956452.759999998</v>
      </c>
      <c r="G921" s="4"/>
      <c r="H921" s="4">
        <v>92850000</v>
      </c>
      <c r="I921" s="4">
        <v>130806452.76000001</v>
      </c>
      <c r="J921" s="3">
        <v>8.4680167680800054</v>
      </c>
      <c r="K921" s="4">
        <v>4827.0886936085999</v>
      </c>
      <c r="L921" s="4">
        <v>15797210</v>
      </c>
      <c r="M921" s="3">
        <v>23.8325326</v>
      </c>
      <c r="N921" s="3">
        <v>29.9618602</v>
      </c>
      <c r="O921" s="3">
        <v>48.498154900000003</v>
      </c>
      <c r="P921" s="3">
        <v>33.960138000000001</v>
      </c>
      <c r="Q921" s="3">
        <v>35.216783800000002</v>
      </c>
      <c r="R921" s="3">
        <v>36.2591538</v>
      </c>
      <c r="S921" s="2">
        <v>0</v>
      </c>
      <c r="T921" s="2">
        <v>0</v>
      </c>
      <c r="U921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/>
  </sheetViews>
  <sheetFormatPr baseColWidth="10" defaultColWidth="9.109375" defaultRowHeight="14.4" x14ac:dyDescent="0.3"/>
  <cols>
    <col min="1" max="1" width="30" customWidth="1"/>
    <col min="2" max="2" width="28" customWidth="1"/>
    <col min="3" max="3" width="62" customWidth="1"/>
    <col min="4" max="4" width="20" customWidth="1"/>
    <col min="5" max="5" width="22" customWidth="1"/>
  </cols>
  <sheetData>
    <row r="1" spans="1:5" ht="30" customHeight="1" x14ac:dyDescent="0.3">
      <c r="A1" s="10" t="s">
        <v>100</v>
      </c>
      <c r="B1" s="10" t="s">
        <v>101</v>
      </c>
      <c r="C1" s="10" t="s">
        <v>102</v>
      </c>
      <c r="D1" s="10" t="s">
        <v>103</v>
      </c>
      <c r="E1" s="10" t="s">
        <v>104</v>
      </c>
    </row>
    <row r="2" spans="1:5" ht="42" customHeight="1" x14ac:dyDescent="0.3">
      <c r="A2" s="11" t="s">
        <v>0</v>
      </c>
      <c r="B2" s="11" t="s">
        <v>105</v>
      </c>
      <c r="C2" s="11" t="s">
        <v>106</v>
      </c>
      <c r="D2" s="11" t="s">
        <v>107</v>
      </c>
      <c r="E2" s="11" t="s">
        <v>108</v>
      </c>
    </row>
    <row r="3" spans="1:5" ht="42" customHeight="1" x14ac:dyDescent="0.3">
      <c r="A3" s="11" t="s">
        <v>238</v>
      </c>
      <c r="B3" s="11" t="s">
        <v>109</v>
      </c>
      <c r="C3" s="11" t="s">
        <v>110</v>
      </c>
      <c r="D3" s="11" t="s">
        <v>111</v>
      </c>
      <c r="E3" s="11" t="s">
        <v>108</v>
      </c>
    </row>
    <row r="4" spans="1:5" ht="42" customHeight="1" x14ac:dyDescent="0.3">
      <c r="A4" s="11" t="s">
        <v>1</v>
      </c>
      <c r="B4" s="11" t="s">
        <v>112</v>
      </c>
      <c r="C4" s="11" t="s">
        <v>113</v>
      </c>
      <c r="D4" s="11" t="s">
        <v>107</v>
      </c>
      <c r="E4" s="11" t="s">
        <v>114</v>
      </c>
    </row>
    <row r="5" spans="1:5" ht="42" customHeight="1" x14ac:dyDescent="0.3">
      <c r="A5" s="11" t="s">
        <v>245</v>
      </c>
      <c r="B5" s="11" t="s">
        <v>115</v>
      </c>
      <c r="C5" s="11" t="s">
        <v>241</v>
      </c>
      <c r="D5" s="11" t="s">
        <v>240</v>
      </c>
      <c r="E5" s="11" t="s">
        <v>116</v>
      </c>
    </row>
    <row r="6" spans="1:5" ht="42" customHeight="1" x14ac:dyDescent="0.3">
      <c r="A6" s="11" t="s">
        <v>244</v>
      </c>
      <c r="B6" s="11" t="s">
        <v>115</v>
      </c>
      <c r="C6" s="11" t="s">
        <v>242</v>
      </c>
      <c r="D6" s="11" t="s">
        <v>119</v>
      </c>
      <c r="E6" s="11" t="s">
        <v>116</v>
      </c>
    </row>
    <row r="7" spans="1:5" ht="42" customHeight="1" x14ac:dyDescent="0.3">
      <c r="A7" s="11" t="s">
        <v>247</v>
      </c>
      <c r="B7" s="11" t="s">
        <v>117</v>
      </c>
      <c r="C7" s="11" t="s">
        <v>118</v>
      </c>
      <c r="D7" s="11" t="s">
        <v>119</v>
      </c>
      <c r="E7" s="11" t="s">
        <v>120</v>
      </c>
    </row>
    <row r="8" spans="1:5" ht="42" customHeight="1" x14ac:dyDescent="0.3">
      <c r="A8" s="11" t="s">
        <v>248</v>
      </c>
      <c r="B8" s="11" t="s">
        <v>121</v>
      </c>
      <c r="C8" s="11" t="s">
        <v>122</v>
      </c>
      <c r="D8" s="11" t="s">
        <v>119</v>
      </c>
      <c r="E8" s="11" t="s">
        <v>120</v>
      </c>
    </row>
    <row r="9" spans="1:5" ht="42" customHeight="1" x14ac:dyDescent="0.3">
      <c r="A9" s="11" t="s">
        <v>249</v>
      </c>
      <c r="B9" s="11" t="s">
        <v>123</v>
      </c>
      <c r="C9" s="11" t="s">
        <v>124</v>
      </c>
      <c r="D9" s="11" t="s">
        <v>119</v>
      </c>
      <c r="E9" s="11" t="s">
        <v>120</v>
      </c>
    </row>
    <row r="10" spans="1:5" ht="42" customHeight="1" x14ac:dyDescent="0.3">
      <c r="A10" s="11" t="s">
        <v>246</v>
      </c>
      <c r="B10" s="11" t="s">
        <v>125</v>
      </c>
      <c r="C10" s="11" t="s">
        <v>126</v>
      </c>
      <c r="D10" s="11" t="s">
        <v>119</v>
      </c>
      <c r="E10" s="11" t="s">
        <v>120</v>
      </c>
    </row>
    <row r="11" spans="1:5" ht="42" customHeight="1" x14ac:dyDescent="0.3">
      <c r="A11" s="11" t="s">
        <v>250</v>
      </c>
      <c r="B11" s="11" t="s">
        <v>127</v>
      </c>
      <c r="C11" s="11" t="s">
        <v>128</v>
      </c>
      <c r="D11" s="11" t="s">
        <v>129</v>
      </c>
      <c r="E11" s="11" t="s">
        <v>130</v>
      </c>
    </row>
    <row r="12" spans="1:5" ht="42" customHeight="1" x14ac:dyDescent="0.3">
      <c r="A12" s="11" t="s">
        <v>251</v>
      </c>
      <c r="B12" s="11" t="s">
        <v>131</v>
      </c>
      <c r="C12" s="11" t="s">
        <v>132</v>
      </c>
      <c r="D12" s="11" t="s">
        <v>243</v>
      </c>
      <c r="E12" s="11" t="s">
        <v>130</v>
      </c>
    </row>
    <row r="13" spans="1:5" ht="42" customHeight="1" x14ac:dyDescent="0.3">
      <c r="A13" s="11" t="s">
        <v>2</v>
      </c>
      <c r="B13" s="11" t="s">
        <v>133</v>
      </c>
      <c r="C13" s="11" t="s">
        <v>134</v>
      </c>
      <c r="D13" s="11" t="s">
        <v>135</v>
      </c>
      <c r="E13" s="11" t="s">
        <v>130</v>
      </c>
    </row>
    <row r="14" spans="1:5" ht="42" customHeight="1" x14ac:dyDescent="0.3">
      <c r="A14" s="11" t="s">
        <v>252</v>
      </c>
      <c r="B14" s="11" t="s">
        <v>136</v>
      </c>
      <c r="C14" s="11" t="s">
        <v>137</v>
      </c>
      <c r="D14" s="11" t="s">
        <v>138</v>
      </c>
      <c r="E14" s="11" t="s">
        <v>139</v>
      </c>
    </row>
    <row r="15" spans="1:5" ht="42" customHeight="1" x14ac:dyDescent="0.3">
      <c r="A15" s="11" t="s">
        <v>253</v>
      </c>
      <c r="B15" s="11" t="s">
        <v>140</v>
      </c>
      <c r="C15" s="11" t="s">
        <v>141</v>
      </c>
      <c r="D15" s="11" t="s">
        <v>138</v>
      </c>
      <c r="E15" s="11" t="s">
        <v>139</v>
      </c>
    </row>
    <row r="16" spans="1:5" ht="42" customHeight="1" x14ac:dyDescent="0.3">
      <c r="A16" s="11" t="s">
        <v>254</v>
      </c>
      <c r="B16" s="11" t="s">
        <v>142</v>
      </c>
      <c r="C16" s="11" t="s">
        <v>143</v>
      </c>
      <c r="D16" s="11" t="s">
        <v>138</v>
      </c>
      <c r="E16" s="11" t="s">
        <v>139</v>
      </c>
    </row>
    <row r="17" spans="1:5" ht="42" customHeight="1" x14ac:dyDescent="0.3">
      <c r="A17" s="11" t="s">
        <v>255</v>
      </c>
      <c r="B17" s="11" t="s">
        <v>144</v>
      </c>
      <c r="C17" s="11" t="s">
        <v>145</v>
      </c>
      <c r="D17" s="11" t="s">
        <v>138</v>
      </c>
      <c r="E17" s="11" t="s">
        <v>139</v>
      </c>
    </row>
    <row r="18" spans="1:5" ht="42" customHeight="1" x14ac:dyDescent="0.3">
      <c r="A18" s="11" t="s">
        <v>256</v>
      </c>
      <c r="B18" s="11" t="s">
        <v>146</v>
      </c>
      <c r="C18" s="11" t="s">
        <v>147</v>
      </c>
      <c r="D18" s="11" t="s">
        <v>138</v>
      </c>
      <c r="E18" s="11" t="s">
        <v>139</v>
      </c>
    </row>
    <row r="19" spans="1:5" ht="42" customHeight="1" x14ac:dyDescent="0.3">
      <c r="A19" s="11" t="s">
        <v>257</v>
      </c>
      <c r="B19" s="11" t="s">
        <v>148</v>
      </c>
      <c r="C19" s="11" t="s">
        <v>149</v>
      </c>
      <c r="D19" s="11" t="s">
        <v>138</v>
      </c>
      <c r="E19" s="11" t="s">
        <v>139</v>
      </c>
    </row>
    <row r="20" spans="1:5" ht="42" customHeight="1" x14ac:dyDescent="0.3">
      <c r="A20" s="11" t="s">
        <v>258</v>
      </c>
      <c r="B20" s="11" t="s">
        <v>150</v>
      </c>
      <c r="C20" s="11" t="s">
        <v>151</v>
      </c>
      <c r="D20" s="11" t="s">
        <v>152</v>
      </c>
      <c r="E20" s="11" t="s">
        <v>153</v>
      </c>
    </row>
    <row r="21" spans="1:5" ht="42" customHeight="1" x14ac:dyDescent="0.3">
      <c r="A21" s="11" t="s">
        <v>259</v>
      </c>
      <c r="B21" s="11" t="s">
        <v>154</v>
      </c>
      <c r="C21" s="11" t="s">
        <v>155</v>
      </c>
      <c r="D21" s="11" t="s">
        <v>156</v>
      </c>
      <c r="E21" s="11" t="s">
        <v>153</v>
      </c>
    </row>
    <row r="22" spans="1:5" ht="42" customHeight="1" x14ac:dyDescent="0.3">
      <c r="A22" s="11" t="s">
        <v>3</v>
      </c>
      <c r="B22" s="11" t="s">
        <v>157</v>
      </c>
      <c r="C22" s="11" t="s">
        <v>158</v>
      </c>
      <c r="D22" s="11" t="s">
        <v>152</v>
      </c>
      <c r="E22" s="11" t="s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baseColWidth="10" defaultColWidth="9.109375" defaultRowHeight="14.4" x14ac:dyDescent="0.3"/>
  <cols>
    <col min="1" max="1" width="32" customWidth="1"/>
    <col min="2" max="2" width="16" customWidth="1"/>
    <col min="3" max="3" width="22" customWidth="1"/>
    <col min="4" max="4" width="62" customWidth="1"/>
  </cols>
  <sheetData>
    <row r="1" spans="1:4" ht="30" customHeight="1" x14ac:dyDescent="0.3">
      <c r="A1" s="10" t="s">
        <v>100</v>
      </c>
      <c r="B1" s="10" t="s">
        <v>159</v>
      </c>
      <c r="C1" s="10" t="s">
        <v>104</v>
      </c>
      <c r="D1" s="10" t="s">
        <v>160</v>
      </c>
    </row>
    <row r="2" spans="1:4" ht="39.9" customHeight="1" x14ac:dyDescent="0.3">
      <c r="A2" s="11" t="s">
        <v>237</v>
      </c>
      <c r="B2" s="11" t="s">
        <v>161</v>
      </c>
      <c r="C2" s="11" t="s">
        <v>108</v>
      </c>
      <c r="D2" s="11" t="s">
        <v>162</v>
      </c>
    </row>
    <row r="3" spans="1:4" ht="39.9" customHeight="1" x14ac:dyDescent="0.3">
      <c r="A3" s="11" t="s">
        <v>245</v>
      </c>
      <c r="B3" s="11" t="s">
        <v>163</v>
      </c>
      <c r="C3" s="11" t="s">
        <v>116</v>
      </c>
      <c r="D3" s="11" t="s">
        <v>164</v>
      </c>
    </row>
    <row r="4" spans="1:4" ht="39.9" customHeight="1" x14ac:dyDescent="0.3">
      <c r="A4" s="11" t="s">
        <v>247</v>
      </c>
      <c r="B4" s="11" t="s">
        <v>165</v>
      </c>
      <c r="C4" s="11" t="s">
        <v>120</v>
      </c>
      <c r="D4" s="11" t="s">
        <v>166</v>
      </c>
    </row>
    <row r="5" spans="1:4" ht="39.9" customHeight="1" x14ac:dyDescent="0.3">
      <c r="A5" s="11" t="s">
        <v>248</v>
      </c>
      <c r="B5" s="11" t="s">
        <v>165</v>
      </c>
      <c r="C5" s="11" t="s">
        <v>120</v>
      </c>
      <c r="D5" s="11" t="s">
        <v>167</v>
      </c>
    </row>
    <row r="6" spans="1:4" ht="39.9" customHeight="1" x14ac:dyDescent="0.3">
      <c r="A6" s="11" t="s">
        <v>249</v>
      </c>
      <c r="B6" s="11" t="s">
        <v>165</v>
      </c>
      <c r="C6" s="11" t="s">
        <v>120</v>
      </c>
      <c r="D6" s="11" t="s">
        <v>168</v>
      </c>
    </row>
    <row r="7" spans="1:4" ht="39.9" customHeight="1" x14ac:dyDescent="0.3">
      <c r="A7" s="11" t="s">
        <v>246</v>
      </c>
      <c r="B7" s="11" t="s">
        <v>165</v>
      </c>
      <c r="C7" s="11" t="s">
        <v>120</v>
      </c>
      <c r="D7" s="11" t="s">
        <v>169</v>
      </c>
    </row>
    <row r="8" spans="1:4" ht="39.9" customHeight="1" x14ac:dyDescent="0.3">
      <c r="A8" s="11" t="s">
        <v>250</v>
      </c>
      <c r="B8" s="11" t="s">
        <v>161</v>
      </c>
      <c r="C8" s="11" t="s">
        <v>130</v>
      </c>
      <c r="D8" s="11" t="s">
        <v>170</v>
      </c>
    </row>
    <row r="9" spans="1:4" ht="39.9" customHeight="1" x14ac:dyDescent="0.3">
      <c r="A9" s="11" t="s">
        <v>251</v>
      </c>
      <c r="B9" s="11" t="s">
        <v>171</v>
      </c>
      <c r="C9" s="11" t="s">
        <v>130</v>
      </c>
      <c r="D9" s="11" t="s">
        <v>172</v>
      </c>
    </row>
    <row r="10" spans="1:4" ht="39.9" customHeight="1" x14ac:dyDescent="0.3">
      <c r="A10" s="11" t="s">
        <v>2</v>
      </c>
      <c r="B10" s="11" t="s">
        <v>161</v>
      </c>
      <c r="C10" s="11" t="s">
        <v>130</v>
      </c>
      <c r="D10" s="11" t="s">
        <v>173</v>
      </c>
    </row>
    <row r="11" spans="1:4" ht="39.9" customHeight="1" x14ac:dyDescent="0.3">
      <c r="A11" s="11" t="s">
        <v>174</v>
      </c>
      <c r="B11" s="11" t="s">
        <v>175</v>
      </c>
      <c r="C11" s="11" t="s">
        <v>139</v>
      </c>
      <c r="D11" s="11" t="s">
        <v>176</v>
      </c>
    </row>
    <row r="12" spans="1:4" ht="39.9" customHeight="1" x14ac:dyDescent="0.3">
      <c r="A12" s="11" t="s">
        <v>260</v>
      </c>
      <c r="B12" s="11" t="s">
        <v>161</v>
      </c>
      <c r="C12" s="11" t="s">
        <v>153</v>
      </c>
      <c r="D12" s="11" t="s">
        <v>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9.109375" defaultRowHeight="14.4" x14ac:dyDescent="0.3"/>
  <cols>
    <col min="1" max="1" width="30" customWidth="1"/>
    <col min="2" max="3" width="55" customWidth="1"/>
    <col min="4" max="4" width="30" customWidth="1"/>
  </cols>
  <sheetData>
    <row r="1" spans="1:4" ht="30" customHeight="1" x14ac:dyDescent="0.3">
      <c r="A1" s="10" t="s">
        <v>178</v>
      </c>
      <c r="B1" s="10" t="s">
        <v>179</v>
      </c>
      <c r="C1" s="10" t="s">
        <v>180</v>
      </c>
      <c r="D1" s="10" t="s">
        <v>181</v>
      </c>
    </row>
    <row r="2" spans="1:4" ht="69.900000000000006" customHeight="1" x14ac:dyDescent="0.3">
      <c r="A2" s="11" t="s">
        <v>182</v>
      </c>
      <c r="B2" s="11" t="s">
        <v>183</v>
      </c>
      <c r="C2" s="11" t="s">
        <v>184</v>
      </c>
      <c r="D2" s="11" t="s">
        <v>185</v>
      </c>
    </row>
    <row r="3" spans="1:4" ht="69.900000000000006" customHeight="1" x14ac:dyDescent="0.3">
      <c r="A3" s="11" t="s">
        <v>186</v>
      </c>
      <c r="B3" s="11" t="s">
        <v>187</v>
      </c>
      <c r="C3" s="11" t="s">
        <v>188</v>
      </c>
      <c r="D3" s="11" t="s">
        <v>189</v>
      </c>
    </row>
    <row r="4" spans="1:4" ht="69.900000000000006" customHeight="1" x14ac:dyDescent="0.3">
      <c r="A4" s="11" t="s">
        <v>190</v>
      </c>
      <c r="B4" s="11" t="s">
        <v>191</v>
      </c>
      <c r="C4" s="11" t="s">
        <v>192</v>
      </c>
      <c r="D4" s="11" t="s">
        <v>193</v>
      </c>
    </row>
    <row r="5" spans="1:4" ht="69.900000000000006" customHeight="1" x14ac:dyDescent="0.3">
      <c r="A5" s="11" t="s">
        <v>194</v>
      </c>
      <c r="B5" s="11" t="s">
        <v>195</v>
      </c>
      <c r="C5" s="11" t="s">
        <v>196</v>
      </c>
      <c r="D5" s="11" t="s">
        <v>197</v>
      </c>
    </row>
    <row r="6" spans="1:4" ht="69.900000000000006" customHeight="1" x14ac:dyDescent="0.3">
      <c r="A6" s="11" t="s">
        <v>198</v>
      </c>
      <c r="B6" s="11" t="s">
        <v>199</v>
      </c>
      <c r="C6" s="11" t="s">
        <v>200</v>
      </c>
      <c r="D6" s="11" t="s">
        <v>201</v>
      </c>
    </row>
    <row r="7" spans="1:4" ht="69.900000000000006" customHeight="1" x14ac:dyDescent="0.3">
      <c r="A7" s="11" t="s">
        <v>202</v>
      </c>
      <c r="B7" s="11" t="s">
        <v>203</v>
      </c>
      <c r="C7" s="11" t="s">
        <v>204</v>
      </c>
      <c r="D7" s="11" t="s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09375" defaultRowHeight="14.4" x14ac:dyDescent="0.3"/>
  <cols>
    <col min="1" max="1" width="22" customWidth="1"/>
    <col min="2" max="2" width="10" customWidth="1"/>
    <col min="3" max="3" width="8" customWidth="1"/>
    <col min="4" max="5" width="28" customWidth="1"/>
    <col min="6" max="6" width="24" customWidth="1"/>
    <col min="7" max="7" width="20" customWidth="1"/>
    <col min="8" max="9" width="28" customWidth="1"/>
    <col min="10" max="10" width="20" customWidth="1"/>
    <col min="11" max="11" width="14" customWidth="1"/>
  </cols>
  <sheetData>
    <row r="1" spans="1:11" ht="42" customHeight="1" x14ac:dyDescent="0.3">
      <c r="A1" s="10" t="s">
        <v>105</v>
      </c>
      <c r="B1" s="10" t="s">
        <v>112</v>
      </c>
      <c r="C1" s="10" t="s">
        <v>206</v>
      </c>
      <c r="D1" s="10" t="s">
        <v>207</v>
      </c>
      <c r="E1" s="10" t="s">
        <v>208</v>
      </c>
      <c r="F1" s="10" t="s">
        <v>209</v>
      </c>
      <c r="G1" s="10" t="s">
        <v>210</v>
      </c>
      <c r="H1" s="10" t="s">
        <v>211</v>
      </c>
      <c r="I1" s="10" t="s">
        <v>212</v>
      </c>
      <c r="J1" s="10" t="s">
        <v>213</v>
      </c>
      <c r="K1" s="10" t="s">
        <v>214</v>
      </c>
    </row>
    <row r="2" spans="1:11" x14ac:dyDescent="0.3">
      <c r="A2" s="12" t="s">
        <v>90</v>
      </c>
      <c r="B2" s="12" t="s">
        <v>91</v>
      </c>
      <c r="C2" s="12">
        <v>49</v>
      </c>
      <c r="D2" s="12">
        <v>3366.83</v>
      </c>
      <c r="E2" s="12">
        <v>170.88</v>
      </c>
      <c r="F2" s="12">
        <v>1946</v>
      </c>
      <c r="G2" s="12">
        <v>4.43</v>
      </c>
      <c r="H2" s="12">
        <v>37.6</v>
      </c>
      <c r="I2" s="12">
        <v>56.5</v>
      </c>
      <c r="J2" s="12">
        <v>2</v>
      </c>
      <c r="K2" s="12">
        <v>0</v>
      </c>
    </row>
    <row r="3" spans="1:11" x14ac:dyDescent="0.3">
      <c r="A3" s="12" t="s">
        <v>70</v>
      </c>
      <c r="B3" s="12" t="s">
        <v>71</v>
      </c>
      <c r="C3" s="12">
        <v>49</v>
      </c>
      <c r="D3" s="12">
        <v>2551.62</v>
      </c>
      <c r="E3" s="12">
        <v>719.19</v>
      </c>
      <c r="F3" s="12">
        <v>5301</v>
      </c>
      <c r="G3" s="12">
        <v>3.05</v>
      </c>
      <c r="H3" s="12">
        <v>22.9</v>
      </c>
      <c r="I3" s="12">
        <v>35.4</v>
      </c>
      <c r="J3" s="12">
        <v>18</v>
      </c>
      <c r="K3" s="12">
        <v>11</v>
      </c>
    </row>
    <row r="4" spans="1:11" x14ac:dyDescent="0.3">
      <c r="A4" s="12" t="s">
        <v>48</v>
      </c>
      <c r="B4" s="12" t="s">
        <v>49</v>
      </c>
      <c r="C4" s="12">
        <v>49</v>
      </c>
      <c r="D4" s="12">
        <v>1602.92</v>
      </c>
      <c r="E4" s="12">
        <v>630.39</v>
      </c>
      <c r="F4" s="12">
        <v>2982</v>
      </c>
      <c r="G4" s="12">
        <v>4.07</v>
      </c>
      <c r="H4" s="12">
        <v>29.2</v>
      </c>
      <c r="I4" s="12">
        <v>44.8</v>
      </c>
      <c r="J4" s="12">
        <v>11</v>
      </c>
      <c r="K4" s="12">
        <v>0</v>
      </c>
    </row>
    <row r="5" spans="1:11" x14ac:dyDescent="0.3">
      <c r="A5" s="12" t="s">
        <v>80</v>
      </c>
      <c r="B5" s="12" t="s">
        <v>81</v>
      </c>
      <c r="C5" s="12">
        <v>49</v>
      </c>
      <c r="D5" s="12">
        <v>1394.02</v>
      </c>
      <c r="E5" s="12">
        <v>226.41</v>
      </c>
      <c r="F5" s="12">
        <v>1952</v>
      </c>
      <c r="G5" s="12">
        <v>2.4</v>
      </c>
      <c r="H5" s="12">
        <v>33.200000000000003</v>
      </c>
      <c r="I5" s="12">
        <v>54.1</v>
      </c>
      <c r="J5" s="12">
        <v>11</v>
      </c>
      <c r="K5" s="12">
        <v>3</v>
      </c>
    </row>
    <row r="6" spans="1:11" x14ac:dyDescent="0.3">
      <c r="A6" s="12" t="s">
        <v>88</v>
      </c>
      <c r="B6" s="12" t="s">
        <v>89</v>
      </c>
      <c r="C6" s="12">
        <v>49</v>
      </c>
      <c r="D6" s="12">
        <v>1248.73</v>
      </c>
      <c r="E6" s="12">
        <v>857.58</v>
      </c>
      <c r="F6" s="12">
        <v>3080</v>
      </c>
      <c r="G6" s="12">
        <v>1.81</v>
      </c>
      <c r="H6" s="12">
        <v>19.7</v>
      </c>
      <c r="I6" s="12">
        <v>28.9</v>
      </c>
      <c r="J6" s="12">
        <v>42</v>
      </c>
      <c r="K6" s="12">
        <v>28</v>
      </c>
    </row>
    <row r="7" spans="1:11" x14ac:dyDescent="0.3">
      <c r="A7" s="12" t="s">
        <v>56</v>
      </c>
      <c r="B7" s="12" t="s">
        <v>57</v>
      </c>
      <c r="C7" s="12">
        <v>49</v>
      </c>
      <c r="D7" s="12">
        <v>1128.73</v>
      </c>
      <c r="E7" s="12">
        <v>77.010000000000005</v>
      </c>
      <c r="F7" s="12">
        <v>1205</v>
      </c>
      <c r="G7" s="12">
        <v>3.66</v>
      </c>
      <c r="H7" s="12">
        <v>35</v>
      </c>
      <c r="I7" s="12">
        <v>61.7</v>
      </c>
      <c r="J7" s="12">
        <v>0</v>
      </c>
      <c r="K7" s="12">
        <v>0</v>
      </c>
    </row>
    <row r="8" spans="1:11" x14ac:dyDescent="0.3">
      <c r="A8" s="12" t="s">
        <v>58</v>
      </c>
      <c r="B8" s="12" t="s">
        <v>59</v>
      </c>
      <c r="C8" s="12">
        <v>49</v>
      </c>
      <c r="D8" s="12">
        <v>1021.74</v>
      </c>
      <c r="E8" s="12">
        <v>86.7</v>
      </c>
      <c r="F8" s="12">
        <v>1920</v>
      </c>
      <c r="G8" s="12">
        <v>3.69</v>
      </c>
      <c r="H8" s="12">
        <v>34</v>
      </c>
      <c r="I8" s="12">
        <v>51.6</v>
      </c>
      <c r="J8" s="12">
        <v>20</v>
      </c>
      <c r="K8" s="12">
        <v>1</v>
      </c>
    </row>
    <row r="9" spans="1:11" x14ac:dyDescent="0.3">
      <c r="A9" s="12" t="s">
        <v>36</v>
      </c>
      <c r="B9" s="12" t="s">
        <v>37</v>
      </c>
      <c r="C9" s="12">
        <v>49</v>
      </c>
      <c r="D9" s="12">
        <v>992.04</v>
      </c>
      <c r="E9" s="12">
        <v>1017.9</v>
      </c>
      <c r="F9" s="12">
        <v>1158</v>
      </c>
      <c r="G9" s="12">
        <v>5.53</v>
      </c>
      <c r="H9" s="12">
        <v>34.700000000000003</v>
      </c>
      <c r="I9" s="12">
        <v>40.6</v>
      </c>
      <c r="J9" s="12">
        <v>46</v>
      </c>
      <c r="K9" s="12">
        <v>23</v>
      </c>
    </row>
    <row r="10" spans="1:11" x14ac:dyDescent="0.3">
      <c r="A10" s="12" t="s">
        <v>94</v>
      </c>
      <c r="B10" s="12" t="s">
        <v>95</v>
      </c>
      <c r="C10" s="12">
        <v>49</v>
      </c>
      <c r="D10" s="12">
        <v>861.2</v>
      </c>
      <c r="E10" s="12">
        <v>229.98</v>
      </c>
      <c r="F10" s="12">
        <v>1720</v>
      </c>
      <c r="G10" s="12">
        <v>5.65</v>
      </c>
      <c r="H10" s="12">
        <v>28.8</v>
      </c>
      <c r="I10" s="12">
        <v>47.2</v>
      </c>
      <c r="J10" s="12">
        <v>39</v>
      </c>
      <c r="K10" s="12">
        <v>12</v>
      </c>
    </row>
    <row r="11" spans="1:11" x14ac:dyDescent="0.3">
      <c r="A11" s="12" t="s">
        <v>10</v>
      </c>
      <c r="B11" s="12" t="s">
        <v>11</v>
      </c>
      <c r="C11" s="12">
        <v>49</v>
      </c>
      <c r="D11" s="12">
        <v>537.63</v>
      </c>
      <c r="E11" s="12">
        <v>111.73</v>
      </c>
      <c r="F11" s="12">
        <v>1410</v>
      </c>
      <c r="G11" s="12">
        <v>4.84</v>
      </c>
      <c r="H11" s="12">
        <v>43.6</v>
      </c>
      <c r="I11" s="12">
        <v>56.2</v>
      </c>
      <c r="J11" s="12">
        <v>9</v>
      </c>
      <c r="K11" s="12">
        <v>3</v>
      </c>
    </row>
    <row r="12" spans="1:11" x14ac:dyDescent="0.3">
      <c r="A12" s="12" t="s">
        <v>16</v>
      </c>
      <c r="B12" s="12" t="s">
        <v>17</v>
      </c>
      <c r="C12" s="12">
        <v>49</v>
      </c>
      <c r="D12" s="12">
        <v>486.09</v>
      </c>
      <c r="E12" s="12">
        <v>407.92</v>
      </c>
      <c r="F12" s="12">
        <v>2982</v>
      </c>
      <c r="G12" s="12">
        <v>3.59</v>
      </c>
      <c r="H12" s="12">
        <v>25.5</v>
      </c>
      <c r="I12" s="12">
        <v>49.8</v>
      </c>
      <c r="J12" s="12">
        <v>12</v>
      </c>
      <c r="K12" s="12">
        <v>0</v>
      </c>
    </row>
    <row r="13" spans="1:11" x14ac:dyDescent="0.3">
      <c r="A13" s="12" t="s">
        <v>64</v>
      </c>
      <c r="B13" s="12" t="s">
        <v>65</v>
      </c>
      <c r="C13" s="12">
        <v>49</v>
      </c>
      <c r="D13" s="12">
        <v>480.28</v>
      </c>
      <c r="E13" s="12">
        <v>278.3</v>
      </c>
      <c r="F13" s="12">
        <v>874</v>
      </c>
      <c r="G13" s="12">
        <v>4.8099999999999996</v>
      </c>
      <c r="H13" s="12">
        <v>34.299999999999997</v>
      </c>
      <c r="I13" s="12">
        <v>58</v>
      </c>
      <c r="J13" s="12">
        <v>26</v>
      </c>
      <c r="K13" s="12">
        <v>11</v>
      </c>
    </row>
    <row r="14" spans="1:11" x14ac:dyDescent="0.3">
      <c r="A14" s="12" t="s">
        <v>20</v>
      </c>
      <c r="B14" s="12" t="s">
        <v>21</v>
      </c>
      <c r="C14" s="12">
        <v>49</v>
      </c>
      <c r="D14" s="12">
        <v>475.3</v>
      </c>
      <c r="E14" s="12">
        <v>95.11</v>
      </c>
      <c r="F14" s="12">
        <v>1793</v>
      </c>
      <c r="G14" s="12">
        <v>4.13</v>
      </c>
      <c r="H14" s="12">
        <v>19.399999999999999</v>
      </c>
      <c r="I14" s="12">
        <v>41</v>
      </c>
      <c r="J14" s="12">
        <v>38</v>
      </c>
      <c r="K14" s="12">
        <v>7</v>
      </c>
    </row>
    <row r="15" spans="1:11" x14ac:dyDescent="0.3">
      <c r="A15" s="12" t="s">
        <v>96</v>
      </c>
      <c r="B15" s="12" t="s">
        <v>97</v>
      </c>
      <c r="C15" s="12">
        <v>49</v>
      </c>
      <c r="D15" s="12">
        <v>467.12</v>
      </c>
      <c r="E15" s="12">
        <v>636.04999999999995</v>
      </c>
      <c r="F15" s="12">
        <v>2568</v>
      </c>
      <c r="G15" s="12">
        <v>3.3</v>
      </c>
      <c r="H15" s="12">
        <v>36.6</v>
      </c>
      <c r="I15" s="12">
        <v>66</v>
      </c>
      <c r="J15" s="12">
        <v>0</v>
      </c>
      <c r="K15" s="12">
        <v>0</v>
      </c>
    </row>
    <row r="16" spans="1:11" x14ac:dyDescent="0.3">
      <c r="A16" s="12" t="s">
        <v>72</v>
      </c>
      <c r="B16" s="12" t="s">
        <v>73</v>
      </c>
      <c r="C16" s="12">
        <v>49</v>
      </c>
      <c r="D16" s="12">
        <v>359.01</v>
      </c>
      <c r="E16" s="12">
        <v>57.51</v>
      </c>
      <c r="F16" s="12">
        <v>1338</v>
      </c>
      <c r="G16" s="12">
        <v>5.72</v>
      </c>
      <c r="H16" s="12">
        <v>47.9</v>
      </c>
      <c r="I16" s="12">
        <v>54</v>
      </c>
      <c r="J16" s="12">
        <v>22</v>
      </c>
      <c r="K16" s="12">
        <v>6</v>
      </c>
    </row>
    <row r="17" spans="1:11" x14ac:dyDescent="0.3">
      <c r="A17" s="12" t="s">
        <v>54</v>
      </c>
      <c r="B17" s="12" t="s">
        <v>55</v>
      </c>
      <c r="C17" s="12">
        <v>49</v>
      </c>
      <c r="D17" s="12">
        <v>339.18</v>
      </c>
      <c r="E17" s="12">
        <v>45.31</v>
      </c>
      <c r="F17" s="12">
        <v>1383</v>
      </c>
      <c r="G17" s="12">
        <v>1.99</v>
      </c>
      <c r="H17" s="12">
        <v>38.4</v>
      </c>
      <c r="I17" s="12">
        <v>59.9</v>
      </c>
      <c r="J17" s="12">
        <v>0</v>
      </c>
      <c r="K17" s="12">
        <v>0</v>
      </c>
    </row>
    <row r="18" spans="1:11" x14ac:dyDescent="0.3">
      <c r="A18" s="12" t="s">
        <v>6</v>
      </c>
      <c r="B18" s="12" t="s">
        <v>7</v>
      </c>
      <c r="C18" s="12">
        <v>49</v>
      </c>
      <c r="D18" s="12">
        <v>281.49</v>
      </c>
      <c r="E18" s="12">
        <v>117.17</v>
      </c>
      <c r="F18" s="12">
        <v>2257</v>
      </c>
      <c r="G18" s="12">
        <v>4.4000000000000004</v>
      </c>
      <c r="H18" s="12">
        <v>37.6</v>
      </c>
      <c r="I18" s="12">
        <v>70.599999999999994</v>
      </c>
      <c r="J18" s="12">
        <v>3</v>
      </c>
      <c r="K18" s="12">
        <v>0</v>
      </c>
    </row>
    <row r="19" spans="1:11" x14ac:dyDescent="0.3">
      <c r="A19" s="12" t="s">
        <v>84</v>
      </c>
      <c r="B19" s="12" t="s">
        <v>85</v>
      </c>
      <c r="C19" s="12">
        <v>49</v>
      </c>
      <c r="D19" s="12">
        <v>194.14</v>
      </c>
      <c r="E19" s="12">
        <v>970.32</v>
      </c>
      <c r="F19" s="12">
        <v>10742</v>
      </c>
      <c r="G19" s="12">
        <v>2.06</v>
      </c>
      <c r="H19" s="12">
        <v>51.6</v>
      </c>
      <c r="I19" s="12">
        <v>60.8</v>
      </c>
      <c r="J19" s="12">
        <v>14</v>
      </c>
      <c r="K19" s="12">
        <v>8</v>
      </c>
    </row>
    <row r="20" spans="1:11" x14ac:dyDescent="0.3">
      <c r="A20" s="12" t="s">
        <v>50</v>
      </c>
      <c r="B20" s="12" t="s">
        <v>51</v>
      </c>
      <c r="C20" s="12">
        <v>49</v>
      </c>
      <c r="D20" s="12">
        <v>170.46</v>
      </c>
      <c r="E20" s="12">
        <v>24.44</v>
      </c>
      <c r="F20" s="12">
        <v>1893</v>
      </c>
      <c r="G20" s="12">
        <v>3.73</v>
      </c>
      <c r="H20" s="12">
        <v>45.5</v>
      </c>
      <c r="I20" s="12">
        <v>64.099999999999994</v>
      </c>
      <c r="J20" s="12">
        <v>1</v>
      </c>
      <c r="K20" s="12">
        <v>0</v>
      </c>
    </row>
    <row r="21" spans="1:11" x14ac:dyDescent="0.3">
      <c r="A21" s="12" t="s">
        <v>68</v>
      </c>
      <c r="B21" s="12" t="s">
        <v>69</v>
      </c>
      <c r="C21" s="12">
        <v>49</v>
      </c>
      <c r="D21" s="12">
        <v>163.9</v>
      </c>
      <c r="E21" s="12">
        <v>181.17</v>
      </c>
      <c r="F21" s="12">
        <v>1060</v>
      </c>
      <c r="G21" s="12">
        <v>3.6</v>
      </c>
      <c r="H21" s="12">
        <v>34</v>
      </c>
      <c r="I21" s="12">
        <v>51.6</v>
      </c>
      <c r="J21" s="12">
        <v>17</v>
      </c>
      <c r="K21" s="12">
        <v>0</v>
      </c>
    </row>
    <row r="22" spans="1:11" x14ac:dyDescent="0.3">
      <c r="A22" s="12" t="s">
        <v>76</v>
      </c>
      <c r="B22" s="12" t="s">
        <v>77</v>
      </c>
      <c r="C22" s="12">
        <v>49</v>
      </c>
      <c r="D22" s="12">
        <v>158.75</v>
      </c>
      <c r="E22" s="12">
        <v>255.76</v>
      </c>
      <c r="F22" s="12">
        <v>2623</v>
      </c>
      <c r="G22" s="12">
        <v>3.53</v>
      </c>
      <c r="H22" s="12">
        <v>46.5</v>
      </c>
      <c r="I22" s="12">
        <v>60.7</v>
      </c>
      <c r="J22" s="12">
        <v>10</v>
      </c>
      <c r="K22" s="12">
        <v>0</v>
      </c>
    </row>
    <row r="23" spans="1:11" x14ac:dyDescent="0.3">
      <c r="A23" s="12" t="s">
        <v>14</v>
      </c>
      <c r="B23" s="12" t="s">
        <v>15</v>
      </c>
      <c r="C23" s="12">
        <v>49</v>
      </c>
      <c r="D23" s="12">
        <v>135.38</v>
      </c>
      <c r="E23" s="12">
        <v>22.62</v>
      </c>
      <c r="F23" s="12">
        <v>5046</v>
      </c>
      <c r="G23" s="12">
        <v>6.09</v>
      </c>
      <c r="H23" s="12">
        <v>63.7</v>
      </c>
      <c r="I23" s="12">
        <v>81.400000000000006</v>
      </c>
      <c r="J23" s="12">
        <v>0</v>
      </c>
      <c r="K23" s="12">
        <v>0</v>
      </c>
    </row>
    <row r="24" spans="1:11" x14ac:dyDescent="0.3">
      <c r="A24" s="12" t="s">
        <v>44</v>
      </c>
      <c r="B24" s="12" t="s">
        <v>45</v>
      </c>
      <c r="C24" s="12">
        <v>49</v>
      </c>
      <c r="D24" s="12">
        <v>109.54</v>
      </c>
      <c r="E24" s="12">
        <v>252.24</v>
      </c>
      <c r="F24" s="12">
        <v>1880</v>
      </c>
      <c r="G24" s="12">
        <v>3.99</v>
      </c>
      <c r="H24" s="12">
        <v>27.3</v>
      </c>
      <c r="I24" s="12">
        <v>44.1</v>
      </c>
      <c r="J24" s="12">
        <v>2</v>
      </c>
      <c r="K24" s="12">
        <v>0</v>
      </c>
    </row>
    <row r="25" spans="1:11" x14ac:dyDescent="0.3">
      <c r="A25" s="12" t="s">
        <v>12</v>
      </c>
      <c r="B25" s="12" t="s">
        <v>13</v>
      </c>
      <c r="C25" s="12">
        <v>49</v>
      </c>
      <c r="D25" s="12">
        <v>107.26</v>
      </c>
      <c r="E25" s="12">
        <v>24.15</v>
      </c>
      <c r="F25" s="12">
        <v>688</v>
      </c>
      <c r="G25" s="12">
        <v>2.63</v>
      </c>
      <c r="H25" s="12">
        <v>24.6</v>
      </c>
      <c r="I25" s="12">
        <v>34.4</v>
      </c>
      <c r="J25" s="12">
        <v>24</v>
      </c>
      <c r="K25" s="12">
        <v>4</v>
      </c>
    </row>
    <row r="26" spans="1:11" x14ac:dyDescent="0.3">
      <c r="A26" s="12" t="s">
        <v>66</v>
      </c>
      <c r="B26" s="12" t="s">
        <v>67</v>
      </c>
      <c r="C26" s="12">
        <v>49</v>
      </c>
      <c r="D26" s="12">
        <v>103.14</v>
      </c>
      <c r="E26" s="12">
        <v>118.35</v>
      </c>
      <c r="F26" s="12">
        <v>7450</v>
      </c>
      <c r="G26" s="12">
        <v>2.95</v>
      </c>
      <c r="H26" s="12">
        <v>55.5</v>
      </c>
      <c r="I26" s="12">
        <v>75.400000000000006</v>
      </c>
      <c r="J26" s="12">
        <v>0</v>
      </c>
      <c r="K26" s="12">
        <v>0</v>
      </c>
    </row>
    <row r="27" spans="1:11" x14ac:dyDescent="0.3">
      <c r="A27" s="12" t="s">
        <v>18</v>
      </c>
      <c r="B27" s="12" t="s">
        <v>19</v>
      </c>
      <c r="C27" s="12">
        <v>49</v>
      </c>
      <c r="D27" s="12">
        <v>82.08</v>
      </c>
      <c r="E27" s="12">
        <v>32.92</v>
      </c>
      <c r="F27" s="12">
        <v>802</v>
      </c>
      <c r="G27" s="12">
        <v>1.22</v>
      </c>
      <c r="H27" s="12">
        <v>23.7</v>
      </c>
      <c r="I27" s="12">
        <v>34.5</v>
      </c>
      <c r="J27" s="12">
        <v>18</v>
      </c>
      <c r="K27" s="12">
        <v>0</v>
      </c>
    </row>
    <row r="28" spans="1:11" x14ac:dyDescent="0.3">
      <c r="A28" s="12" t="s">
        <v>46</v>
      </c>
      <c r="B28" s="12" t="s">
        <v>47</v>
      </c>
      <c r="C28" s="12">
        <v>49</v>
      </c>
      <c r="D28" s="12">
        <v>41.32</v>
      </c>
      <c r="E28" s="12">
        <v>13.67</v>
      </c>
      <c r="F28" s="12">
        <v>1481</v>
      </c>
      <c r="G28" s="12">
        <v>3.48</v>
      </c>
      <c r="H28" s="12">
        <v>23.2</v>
      </c>
      <c r="I28" s="12">
        <v>53.5</v>
      </c>
      <c r="J28" s="12">
        <v>2</v>
      </c>
      <c r="K28" s="12">
        <v>0</v>
      </c>
    </row>
    <row r="29" spans="1:11" x14ac:dyDescent="0.3">
      <c r="A29" s="12" t="s">
        <v>8</v>
      </c>
      <c r="B29" s="12" t="s">
        <v>9</v>
      </c>
      <c r="C29" s="12">
        <v>49</v>
      </c>
      <c r="D29" s="12">
        <v>39.03</v>
      </c>
      <c r="E29" s="12">
        <v>82.18</v>
      </c>
      <c r="F29" s="12">
        <v>12233</v>
      </c>
      <c r="G29" s="12">
        <v>6.07</v>
      </c>
      <c r="H29" s="12">
        <v>66</v>
      </c>
      <c r="I29" s="12">
        <v>85</v>
      </c>
      <c r="J29" s="12">
        <v>0</v>
      </c>
      <c r="K29" s="12">
        <v>0</v>
      </c>
    </row>
    <row r="30" spans="1:11" x14ac:dyDescent="0.3">
      <c r="A30" s="12" t="s">
        <v>98</v>
      </c>
      <c r="B30" s="12" t="s">
        <v>99</v>
      </c>
      <c r="C30" s="12">
        <v>49</v>
      </c>
      <c r="D30" s="12">
        <v>37.92</v>
      </c>
      <c r="E30" s="12">
        <v>251.7</v>
      </c>
      <c r="F30" s="12">
        <v>3664</v>
      </c>
      <c r="G30" s="12">
        <v>2.0299999999999998</v>
      </c>
      <c r="H30" s="12">
        <v>22.5</v>
      </c>
      <c r="I30" s="12">
        <v>46.2</v>
      </c>
      <c r="J30" s="12">
        <v>4</v>
      </c>
      <c r="K30" s="12">
        <v>4</v>
      </c>
    </row>
    <row r="31" spans="1:11" x14ac:dyDescent="0.3">
      <c r="A31" s="12" t="s">
        <v>22</v>
      </c>
      <c r="B31" s="12" t="s">
        <v>23</v>
      </c>
      <c r="C31" s="12">
        <v>49</v>
      </c>
      <c r="D31" s="12">
        <v>28.45</v>
      </c>
      <c r="E31" s="12">
        <v>14.39</v>
      </c>
      <c r="F31" s="12">
        <v>2403</v>
      </c>
      <c r="G31" s="12">
        <v>2.62</v>
      </c>
      <c r="H31" s="12">
        <v>29.2</v>
      </c>
      <c r="I31" s="12">
        <v>59.1</v>
      </c>
      <c r="J31" s="12">
        <v>2</v>
      </c>
      <c r="K31" s="12">
        <v>0</v>
      </c>
    </row>
    <row r="32" spans="1:11" x14ac:dyDescent="0.3">
      <c r="A32" s="12" t="s">
        <v>4</v>
      </c>
      <c r="B32" s="12" t="s">
        <v>5</v>
      </c>
      <c r="C32" s="12">
        <v>49</v>
      </c>
      <c r="D32" s="12">
        <v>24.96</v>
      </c>
      <c r="E32" s="12">
        <v>2959.32</v>
      </c>
      <c r="F32" s="12">
        <v>6125</v>
      </c>
      <c r="G32" s="12">
        <v>3.52</v>
      </c>
      <c r="H32" s="12">
        <v>23.6</v>
      </c>
      <c r="I32" s="12">
        <v>48.3</v>
      </c>
      <c r="J32" s="12">
        <v>37</v>
      </c>
      <c r="K32" s="12">
        <v>22</v>
      </c>
    </row>
    <row r="33" spans="1:11" x14ac:dyDescent="0.3">
      <c r="A33" s="12" t="s">
        <v>60</v>
      </c>
      <c r="B33" s="12" t="s">
        <v>61</v>
      </c>
      <c r="C33" s="12">
        <v>49</v>
      </c>
      <c r="D33" s="12">
        <v>21.75</v>
      </c>
      <c r="E33" s="12">
        <v>79.569999999999993</v>
      </c>
      <c r="F33" s="12">
        <v>3578</v>
      </c>
      <c r="G33" s="12">
        <v>3.05</v>
      </c>
      <c r="H33" s="12">
        <v>33.799999999999997</v>
      </c>
      <c r="I33" s="12">
        <v>58</v>
      </c>
      <c r="J33" s="12">
        <v>4</v>
      </c>
      <c r="K33" s="12">
        <v>0</v>
      </c>
    </row>
    <row r="34" spans="1:11" x14ac:dyDescent="0.3">
      <c r="A34" s="12" t="s">
        <v>32</v>
      </c>
      <c r="B34" s="12" t="s">
        <v>33</v>
      </c>
      <c r="C34" s="12">
        <v>49</v>
      </c>
      <c r="D34" s="12">
        <v>21.6</v>
      </c>
      <c r="E34" s="12">
        <v>143.41999999999999</v>
      </c>
      <c r="F34" s="12">
        <v>1543</v>
      </c>
      <c r="G34" s="12">
        <v>3.78</v>
      </c>
      <c r="H34" s="12">
        <v>34.9</v>
      </c>
      <c r="I34" s="12">
        <v>48.3</v>
      </c>
      <c r="J34" s="12">
        <v>7</v>
      </c>
      <c r="K34" s="12">
        <v>3</v>
      </c>
    </row>
    <row r="35" spans="1:11" x14ac:dyDescent="0.3">
      <c r="A35" s="12" t="s">
        <v>34</v>
      </c>
      <c r="B35" s="12" t="s">
        <v>35</v>
      </c>
      <c r="C35" s="12">
        <v>49</v>
      </c>
      <c r="D35" s="12">
        <v>21.47</v>
      </c>
      <c r="E35" s="12"/>
      <c r="F35" s="12">
        <v>6544</v>
      </c>
      <c r="G35" s="12">
        <v>4.33</v>
      </c>
      <c r="H35" s="12">
        <v>44.3</v>
      </c>
      <c r="I35" s="12">
        <v>60.2</v>
      </c>
      <c r="J35" s="12">
        <v>0</v>
      </c>
      <c r="K35" s="12">
        <v>0</v>
      </c>
    </row>
    <row r="36" spans="1:11" x14ac:dyDescent="0.3">
      <c r="A36" s="12" t="s">
        <v>74</v>
      </c>
      <c r="B36" s="12" t="s">
        <v>75</v>
      </c>
      <c r="C36" s="12">
        <v>49</v>
      </c>
      <c r="D36" s="12">
        <v>10.89</v>
      </c>
      <c r="E36" s="12">
        <v>26.14</v>
      </c>
      <c r="F36" s="12">
        <v>2914</v>
      </c>
      <c r="G36" s="12">
        <v>2.68</v>
      </c>
      <c r="H36" s="12">
        <v>47.8</v>
      </c>
      <c r="I36" s="12">
        <v>74.400000000000006</v>
      </c>
      <c r="J36" s="12">
        <v>0</v>
      </c>
      <c r="K36" s="12">
        <v>0</v>
      </c>
    </row>
    <row r="37" spans="1:11" x14ac:dyDescent="0.3">
      <c r="A37" s="12" t="s">
        <v>52</v>
      </c>
      <c r="B37" s="12" t="s">
        <v>53</v>
      </c>
      <c r="C37" s="12">
        <v>49</v>
      </c>
      <c r="D37" s="12">
        <v>9.3000000000000007</v>
      </c>
      <c r="E37" s="12">
        <v>57.09</v>
      </c>
      <c r="F37" s="12">
        <v>1046</v>
      </c>
      <c r="G37" s="12">
        <v>1.45</v>
      </c>
      <c r="H37" s="12">
        <v>29.2</v>
      </c>
      <c r="I37" s="12">
        <v>48.9</v>
      </c>
      <c r="J37" s="12">
        <v>7</v>
      </c>
      <c r="K37" s="12">
        <v>1</v>
      </c>
    </row>
    <row r="38" spans="1:11" x14ac:dyDescent="0.3">
      <c r="A38" s="12" t="s">
        <v>42</v>
      </c>
      <c r="B38" s="12" t="s">
        <v>43</v>
      </c>
      <c r="C38" s="12">
        <v>49</v>
      </c>
      <c r="D38" s="12">
        <v>7.7</v>
      </c>
      <c r="E38" s="12">
        <v>474.19</v>
      </c>
      <c r="F38" s="12">
        <v>3837</v>
      </c>
      <c r="G38" s="12">
        <v>4.22</v>
      </c>
      <c r="H38" s="12">
        <v>44.3</v>
      </c>
      <c r="I38" s="12">
        <v>63.3</v>
      </c>
      <c r="J38" s="12">
        <v>2</v>
      </c>
      <c r="K38" s="12">
        <v>0</v>
      </c>
    </row>
    <row r="39" spans="1:11" x14ac:dyDescent="0.3">
      <c r="A39" s="12" t="s">
        <v>62</v>
      </c>
      <c r="B39" s="12" t="s">
        <v>63</v>
      </c>
      <c r="C39" s="12">
        <v>49</v>
      </c>
      <c r="D39" s="12">
        <v>0.42</v>
      </c>
      <c r="E39" s="12">
        <v>62.54</v>
      </c>
      <c r="F39" s="12">
        <v>14807</v>
      </c>
      <c r="G39" s="12">
        <v>4.53</v>
      </c>
      <c r="H39" s="12">
        <v>55.5</v>
      </c>
      <c r="I39" s="12">
        <v>80.900000000000006</v>
      </c>
      <c r="J39" s="12">
        <v>0</v>
      </c>
      <c r="K39" s="12">
        <v>0</v>
      </c>
    </row>
    <row r="40" spans="1:11" x14ac:dyDescent="0.3">
      <c r="A40" s="12" t="s">
        <v>38</v>
      </c>
      <c r="B40" s="12" t="s">
        <v>39</v>
      </c>
      <c r="C40" s="12">
        <v>49</v>
      </c>
      <c r="D40" s="12">
        <v>0.27</v>
      </c>
      <c r="E40" s="12">
        <v>140.86000000000001</v>
      </c>
      <c r="F40" s="12">
        <v>14674</v>
      </c>
      <c r="G40" s="12">
        <v>1.99</v>
      </c>
      <c r="H40" s="12">
        <v>31</v>
      </c>
      <c r="I40" s="12">
        <v>64.7</v>
      </c>
      <c r="J40" s="12">
        <v>0</v>
      </c>
      <c r="K40" s="12">
        <v>0</v>
      </c>
    </row>
    <row r="41" spans="1:11" x14ac:dyDescent="0.3">
      <c r="A41" s="12" t="s">
        <v>24</v>
      </c>
      <c r="B41" s="12" t="s">
        <v>25</v>
      </c>
      <c r="C41" s="12">
        <v>49</v>
      </c>
      <c r="D41" s="12"/>
      <c r="E41" s="12"/>
      <c r="F41" s="12">
        <v>766</v>
      </c>
      <c r="G41" s="12">
        <v>1.59</v>
      </c>
      <c r="H41" s="12">
        <v>17.399999999999999</v>
      </c>
      <c r="I41" s="12">
        <v>29.3</v>
      </c>
      <c r="J41" s="12">
        <v>25</v>
      </c>
      <c r="K41" s="12">
        <v>7</v>
      </c>
    </row>
    <row r="42" spans="1:11" x14ac:dyDescent="0.3">
      <c r="A42" s="12" t="s">
        <v>26</v>
      </c>
      <c r="B42" s="12" t="s">
        <v>27</v>
      </c>
      <c r="C42" s="12">
        <v>49</v>
      </c>
      <c r="D42" s="12"/>
      <c r="E42" s="12"/>
      <c r="F42" s="12">
        <v>4587</v>
      </c>
      <c r="G42" s="12">
        <v>2.97</v>
      </c>
      <c r="H42" s="12">
        <v>25.3</v>
      </c>
      <c r="I42" s="12">
        <v>49.5</v>
      </c>
      <c r="J42" s="12">
        <v>6</v>
      </c>
      <c r="K42" s="12">
        <v>2</v>
      </c>
    </row>
    <row r="43" spans="1:11" x14ac:dyDescent="0.3">
      <c r="A43" s="12" t="s">
        <v>28</v>
      </c>
      <c r="B43" s="12" t="s">
        <v>29</v>
      </c>
      <c r="C43" s="12">
        <v>49</v>
      </c>
      <c r="D43" s="12"/>
      <c r="E43" s="12">
        <v>386.01</v>
      </c>
      <c r="F43" s="12">
        <v>3773</v>
      </c>
      <c r="G43" s="12">
        <v>3.19</v>
      </c>
      <c r="H43" s="12">
        <v>34.5</v>
      </c>
      <c r="I43" s="12">
        <v>44.5</v>
      </c>
      <c r="J43" s="12">
        <v>4</v>
      </c>
      <c r="K43" s="12">
        <v>0</v>
      </c>
    </row>
    <row r="44" spans="1:11" x14ac:dyDescent="0.3">
      <c r="A44" s="12" t="s">
        <v>30</v>
      </c>
      <c r="B44" s="12" t="s">
        <v>31</v>
      </c>
      <c r="C44" s="12">
        <v>49</v>
      </c>
      <c r="D44" s="12"/>
      <c r="E44" s="12">
        <v>421.18</v>
      </c>
      <c r="F44" s="12">
        <v>15226</v>
      </c>
      <c r="G44" s="12">
        <v>12.44</v>
      </c>
      <c r="H44" s="12">
        <v>18.7</v>
      </c>
      <c r="I44" s="12">
        <v>61.9</v>
      </c>
      <c r="J44" s="12">
        <v>0</v>
      </c>
      <c r="K44" s="12">
        <v>0</v>
      </c>
    </row>
    <row r="45" spans="1:11" x14ac:dyDescent="0.3">
      <c r="A45" s="12" t="s">
        <v>40</v>
      </c>
      <c r="B45" s="12" t="s">
        <v>41</v>
      </c>
      <c r="C45" s="12">
        <v>49</v>
      </c>
      <c r="D45" s="12"/>
      <c r="E45" s="12">
        <v>35.619999999999997</v>
      </c>
      <c r="F45" s="12">
        <v>2013</v>
      </c>
      <c r="G45" s="12">
        <v>3.53</v>
      </c>
      <c r="H45" s="12">
        <v>38.1</v>
      </c>
      <c r="I45" s="12">
        <v>66.8</v>
      </c>
      <c r="J45" s="12">
        <v>1</v>
      </c>
      <c r="K45" s="12">
        <v>0</v>
      </c>
    </row>
    <row r="46" spans="1:11" x14ac:dyDescent="0.3">
      <c r="A46" s="12" t="s">
        <v>78</v>
      </c>
      <c r="B46" s="12" t="s">
        <v>79</v>
      </c>
      <c r="C46" s="12">
        <v>49</v>
      </c>
      <c r="D46" s="12"/>
      <c r="E46" s="12">
        <v>7.43</v>
      </c>
      <c r="F46" s="12">
        <v>19830</v>
      </c>
      <c r="G46" s="12">
        <v>4.1900000000000004</v>
      </c>
      <c r="H46" s="12">
        <v>60.9</v>
      </c>
      <c r="I46" s="12">
        <v>78.8</v>
      </c>
      <c r="J46" s="12">
        <v>0</v>
      </c>
      <c r="K46" s="12">
        <v>0</v>
      </c>
    </row>
    <row r="47" spans="1:11" x14ac:dyDescent="0.3">
      <c r="A47" s="12" t="s">
        <v>82</v>
      </c>
      <c r="B47" s="12" t="s">
        <v>83</v>
      </c>
      <c r="C47" s="12">
        <v>49</v>
      </c>
      <c r="D47" s="12"/>
      <c r="E47" s="12"/>
      <c r="F47" s="12">
        <v>874</v>
      </c>
      <c r="G47" s="12">
        <v>4.26</v>
      </c>
      <c r="H47" s="12">
        <v>14.6</v>
      </c>
      <c r="I47" s="12">
        <v>22.9</v>
      </c>
      <c r="J47" s="12">
        <v>38</v>
      </c>
      <c r="K47" s="12">
        <v>23</v>
      </c>
    </row>
    <row r="48" spans="1:11" x14ac:dyDescent="0.3">
      <c r="A48" s="12" t="s">
        <v>86</v>
      </c>
      <c r="B48" s="12" t="s">
        <v>87</v>
      </c>
      <c r="C48" s="12">
        <v>49</v>
      </c>
      <c r="D48" s="12"/>
      <c r="E48" s="12">
        <v>376.92</v>
      </c>
      <c r="F48" s="12">
        <v>2166</v>
      </c>
      <c r="G48" s="12">
        <v>-4.93</v>
      </c>
      <c r="H48" s="12">
        <v>14.9</v>
      </c>
      <c r="I48" s="12">
        <v>31.3</v>
      </c>
      <c r="J48" s="12">
        <v>11</v>
      </c>
      <c r="K48" s="12">
        <v>1</v>
      </c>
    </row>
    <row r="49" spans="1:11" x14ac:dyDescent="0.3">
      <c r="A49" s="12" t="s">
        <v>92</v>
      </c>
      <c r="B49" s="12" t="s">
        <v>93</v>
      </c>
      <c r="C49" s="12">
        <v>49</v>
      </c>
      <c r="D49" s="12"/>
      <c r="E49" s="12">
        <v>69.459999999999994</v>
      </c>
      <c r="F49" s="12">
        <v>1670</v>
      </c>
      <c r="G49" s="12">
        <v>3.23</v>
      </c>
      <c r="H49" s="12">
        <v>31.6</v>
      </c>
      <c r="I49" s="12">
        <v>55.4</v>
      </c>
      <c r="J49" s="12">
        <v>4</v>
      </c>
      <c r="K49" s="1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baseColWidth="10" defaultColWidth="9.109375" defaultRowHeight="14.4" x14ac:dyDescent="0.3"/>
  <cols>
    <col min="1" max="1" width="16" customWidth="1"/>
    <col min="2" max="2" width="48" customWidth="1"/>
    <col min="3" max="3" width="64" customWidth="1"/>
    <col min="4" max="4" width="14" customWidth="1"/>
    <col min="5" max="5" width="60" customWidth="1"/>
  </cols>
  <sheetData>
    <row r="1" spans="1:5" ht="30" customHeight="1" x14ac:dyDescent="0.3">
      <c r="A1" s="10" t="s">
        <v>104</v>
      </c>
      <c r="B1" s="10" t="s">
        <v>215</v>
      </c>
      <c r="C1" s="10" t="s">
        <v>216</v>
      </c>
      <c r="D1" s="10" t="s">
        <v>217</v>
      </c>
      <c r="E1" s="10" t="s">
        <v>218</v>
      </c>
    </row>
    <row r="2" spans="1:5" ht="54.9" customHeight="1" x14ac:dyDescent="0.3">
      <c r="A2" s="11" t="s">
        <v>116</v>
      </c>
      <c r="B2" s="11" t="s">
        <v>219</v>
      </c>
      <c r="C2" s="11" t="s">
        <v>220</v>
      </c>
      <c r="D2" s="11" t="s">
        <v>163</v>
      </c>
      <c r="E2" s="11" t="s">
        <v>221</v>
      </c>
    </row>
    <row r="3" spans="1:5" ht="54.9" customHeight="1" x14ac:dyDescent="0.3">
      <c r="A3" s="11" t="s">
        <v>120</v>
      </c>
      <c r="B3" s="11" t="s">
        <v>222</v>
      </c>
      <c r="C3" s="11" t="s">
        <v>223</v>
      </c>
      <c r="D3" s="11" t="s">
        <v>165</v>
      </c>
      <c r="E3" s="11" t="s">
        <v>224</v>
      </c>
    </row>
    <row r="4" spans="1:5" ht="54.9" customHeight="1" x14ac:dyDescent="0.3">
      <c r="A4" s="11" t="s">
        <v>225</v>
      </c>
      <c r="B4" s="11" t="s">
        <v>226</v>
      </c>
      <c r="C4" s="11" t="s">
        <v>227</v>
      </c>
      <c r="D4" s="11" t="s">
        <v>161</v>
      </c>
      <c r="E4" s="11" t="s">
        <v>228</v>
      </c>
    </row>
    <row r="5" spans="1:5" ht="54.9" customHeight="1" x14ac:dyDescent="0.3">
      <c r="A5" s="11" t="s">
        <v>229</v>
      </c>
      <c r="B5" s="11" t="s">
        <v>230</v>
      </c>
      <c r="C5" s="11" t="s">
        <v>231</v>
      </c>
      <c r="D5" s="11" t="s">
        <v>175</v>
      </c>
      <c r="E5" s="11" t="s">
        <v>232</v>
      </c>
    </row>
    <row r="6" spans="1:5" ht="54.9" customHeight="1" x14ac:dyDescent="0.3">
      <c r="A6" s="11" t="s">
        <v>233</v>
      </c>
      <c r="B6" s="11" t="s">
        <v>234</v>
      </c>
      <c r="C6" s="11" t="s">
        <v>235</v>
      </c>
      <c r="D6" s="11" t="s">
        <v>161</v>
      </c>
      <c r="E6" s="11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Datos_Panel</vt:lpstr>
      <vt:lpstr>Diccionario_Variables</vt:lpstr>
      <vt:lpstr>Cobertura_Temporal</vt:lpstr>
      <vt:lpstr>Incidencias_Control_Calidad</vt:lpstr>
      <vt:lpstr>Resumen_por_Pais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CRUZ CAÑIZARES</cp:lastModifiedBy>
  <dcterms:created xsi:type="dcterms:W3CDTF">2026-05-18T19:30:12Z</dcterms:created>
  <dcterms:modified xsi:type="dcterms:W3CDTF">2026-06-26T18:36:27Z</dcterms:modified>
</cp:coreProperties>
</file>